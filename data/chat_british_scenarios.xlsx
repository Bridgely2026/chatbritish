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Scenarios" sheetId="2" state="visible" r:id="rId2"/>
  </sheets>
  <definedNames>
    <definedName name="_xlnm._FilterDatabase" localSheetId="1" hidden="1">'Scenarios'!$A$1:$R$121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000000"/>
      <sz val="13"/>
    </font>
    <font>
      <name val="Arial"/>
      <charset val="1"/>
      <family val="0"/>
      <b val="1"/>
      <color rgb="FF000000"/>
      <sz val="10"/>
    </font>
    <font>
      <name val="Arial"/>
      <charset val="1"/>
      <family val="0"/>
      <color rgb="FF000000"/>
      <sz val="10"/>
    </font>
    <font>
      <name val="Arial"/>
      <charset val="1"/>
      <family val="0"/>
      <b val="1"/>
      <color rgb="FFFFFFFF"/>
      <sz val="10"/>
    </font>
    <font>
      <name val="Arial"/>
      <charset val="1"/>
      <family val="0"/>
      <color rgb="FF0000FF"/>
      <sz val="10"/>
    </font>
    <font>
      <name val="Arial"/>
      <charset val="1"/>
      <family val="0"/>
      <color rgb="FF595959"/>
      <sz val="10"/>
    </font>
  </fonts>
  <fills count="7">
    <fill>
      <patternFill/>
    </fill>
    <fill>
      <patternFill patternType="gray125"/>
    </fill>
    <fill>
      <patternFill patternType="solid">
        <fgColor rgb="FF2B2B2B"/>
        <bgColor rgb="FF333300"/>
      </patternFill>
    </fill>
    <fill>
      <patternFill patternType="solid">
        <fgColor rgb="FFDCE6F5"/>
        <bgColor rgb="FFEFEFEF"/>
      </patternFill>
    </fill>
    <fill>
      <patternFill patternType="solid">
        <fgColor rgb="FFFFFFFF"/>
        <bgColor rgb="FFEFEFEF"/>
      </patternFill>
    </fill>
    <fill>
      <patternFill patternType="solid">
        <fgColor rgb="FFEFEFEF"/>
        <bgColor rgb="FFDCE6F5"/>
      </patternFill>
    </fill>
    <fill>
      <patternFill patternType="solid">
        <fgColor rgb="FFFFF2CC"/>
        <bgColor rgb="FFEFEFEF"/>
      </patternFill>
    </fill>
  </fills>
  <borders count="2">
    <border>
      <left/>
      <right/>
      <top/>
      <bottom/>
      <diagonal/>
    </border>
    <border>
      <left style="thin">
        <color rgb="FFC8C8C8"/>
      </left>
      <right style="thin">
        <color rgb="FFC8C8C8"/>
      </right>
      <top style="thin">
        <color rgb="FFC8C8C8"/>
      </top>
      <bottom style="thin">
        <color rgb="FFC8C8C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6" fillId="3" borderId="1" applyAlignment="1" pivotButton="0" quotePrefix="0" xfId="0">
      <alignment horizontal="center" vertical="top"/>
    </xf>
    <xf numFmtId="0" fontId="6" fillId="4" borderId="1" applyAlignment="1" pivotButton="0" quotePrefix="0" xfId="0">
      <alignment horizontal="center" vertical="top"/>
    </xf>
    <xf numFmtId="0" fontId="9" fillId="5" borderId="1" applyAlignment="1" pivotButton="0" quotePrefix="0" xfId="0">
      <alignment horizontal="general" vertical="top" wrapText="1"/>
    </xf>
    <xf numFmtId="0" fontId="6" fillId="6"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6" fillId="3" borderId="1" applyAlignment="1" pivotButton="0" quotePrefix="0" xfId="0">
      <alignment horizontal="center" vertical="top"/>
    </xf>
    <xf numFmtId="0" fontId="6" fillId="4" borderId="1" applyAlignment="1" pivotButton="0" quotePrefix="0" xfId="0">
      <alignment horizontal="center" vertical="top"/>
    </xf>
    <xf numFmtId="0" fontId="9" fillId="5" borderId="1" applyAlignment="1" pivotButton="0" quotePrefix="0" xfId="0">
      <alignment horizontal="general" vertical="top" wrapText="1"/>
    </xf>
    <xf numFmtId="0" fontId="6" fillId="6"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B2B2B"/>
          <bgColor rgb="FF000000"/>
        </patternFill>
      </fill>
    </dxf>
    <dxf>
      <fill>
        <patternFill patternType="solid">
          <fgColor rgb="FFDCE6F5"/>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EFEFEF"/>
          <bgColor rgb="FF000000"/>
        </patternFill>
      </fill>
    </dxf>
    <dxf>
      <fill>
        <patternFill patternType="solid">
          <fgColor rgb="FF595959"/>
          <bgColor rgb="FF000000"/>
        </patternFill>
      </fill>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8C8C8"/>
      <rgbColor rgb="FF808080"/>
      <rgbColor rgb="FF9999FF"/>
      <rgbColor rgb="FF993366"/>
      <rgbColor rgb="FFFFF2CC"/>
      <rgbColor rgb="FFDC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FEFE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B2B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4" min="1" max="1"/>
    <col width="24" customWidth="1" style="14" min="2" max="3"/>
    <col width="14" customWidth="1" style="14" min="4" max="4"/>
    <col width="60" customWidth="1" style="14" min="5" max="5"/>
  </cols>
  <sheetData>
    <row r="1" ht="16.15" customHeight="1" s="15">
      <c r="A1" s="16" t="inlineStr">
        <is>
          <t>Chat British: Practice scenarios (114 + the 6 already in the app = 120)</t>
        </is>
      </c>
    </row>
    <row r="3" ht="31.5" customHeight="1" s="15">
      <c r="A3" s="17" t="inlineStr">
        <is>
          <t>What this is</t>
        </is>
      </c>
      <c r="B3" s="18" t="inlineStr">
        <is>
          <t>Practice questions for all 12 categories. Each comes from one approved taxonomy entry. The app uses only rows whose Status is Approved.</t>
        </is>
      </c>
    </row>
    <row r="4" ht="60" customHeight="1" s="15">
      <c r="A4" s="17" t="inlineStr">
        <is>
          <t>How they were made</t>
        </is>
      </c>
      <c r="B4" s="18" t="inlineStr">
        <is>
          <t>AI-drafted (Claude) from your approved taxonomy entries. The setup comes from the entry's example and surface markers, the right answer from its Good Response, the wrong answers from the misreadings the entry warns about, and the feedback restates its "What It Actually Means". Legal and statistical details in the entries were left out of the feedback on purpose.</t>
        </is>
      </c>
    </row>
    <row r="5" ht="60" customHeight="1" s="15">
      <c r="A5" s="17" t="inlineStr">
        <is>
          <t>Approval record</t>
        </is>
      </c>
      <c r="B5" s="18" t="inlineStr">
        <is>
          <t>All rows are Approved because the founder accepted the whole set. The Review state column records what that means: 18 rows (batch 1) were read and approved individually; the other 96 were accepted in bulk and still need an item-by-item read. Please change Review state to "Reviewed and approved by founder" as you go. Do not remove the column.</t>
        </is>
      </c>
    </row>
    <row r="6" ht="31.5" customHeight="1" s="15">
      <c r="A6" s="17" t="inlineStr">
        <is>
          <t>Spot-check first</t>
        </is>
      </c>
      <c r="B6" s="18" t="inlineStr">
        <is>
          <t>Fifteen of the bulk-approved rows are marked yellow in the Spot-check first column, at least one per category. Reading those first (about 10 minutes) tells you whether the rest need changes.</t>
        </is>
      </c>
    </row>
    <row r="7" ht="45.75" customHeight="1" s="15">
      <c r="A7" s="17" t="inlineStr">
        <is>
          <t>What to edit</t>
        </is>
      </c>
      <c r="B7" s="18" t="inlineStr">
        <is>
          <t>Any text in the blue cells. Set Status to Needs edit or Rejected for anything that shouldn't be shown (it then disappears from the app on the next import). Use Review notes for changes you want but haven't made.</t>
        </is>
      </c>
    </row>
    <row r="8" ht="31.5" customHeight="1" s="15">
      <c r="A8" s="17" t="inlineStr">
        <is>
          <t>Length</t>
        </is>
      </c>
      <c r="B8" s="18" t="inlineStr">
        <is>
          <t>The Longest feedback column turns red above 180 characters. Longer feedback makes the answer panel tall on a phone.</t>
        </is>
      </c>
    </row>
    <row r="9" ht="18" customHeight="1" s="15">
      <c r="A9" s="17" t="inlineStr">
        <is>
          <t>Colour key</t>
        </is>
      </c>
      <c r="B9" s="18" t="inlineStr">
        <is>
          <t>Light blue = AI-drafted. Yellow = spot-check first. Grey = reference text from the taxonomy; do not edit.</t>
        </is>
      </c>
    </row>
    <row r="10" ht="31.5" customHeight="1" s="15">
      <c r="A10" s="17" t="inlineStr">
        <is>
          <t>Columns</t>
        </is>
      </c>
      <c r="B10" s="18" t="inlineStr">
        <is>
          <t>Scenario ID is unique and never reused. Norm ID is the taxonomy entry it comes from. The right answer appears in a random position in the app.</t>
        </is>
      </c>
    </row>
    <row r="12" ht="15" customHeight="1" s="15">
      <c r="A12" s="19" t="inlineStr">
        <is>
          <t>Category</t>
        </is>
      </c>
      <c r="B12" s="19" t="inlineStr">
        <is>
          <t>In this file</t>
        </is>
      </c>
      <c r="C12" s="19" t="inlineStr">
        <is>
          <t>Already in the app</t>
        </is>
      </c>
      <c r="D12" s="19" t="inlineStr">
        <is>
          <t>Total</t>
        </is>
      </c>
      <c r="E12" s="19" t="inlineStr">
        <is>
          <t>Source of the app figure</t>
        </is>
      </c>
    </row>
    <row r="13" ht="23.85" customHeight="1" s="15">
      <c r="A13" s="18" t="inlineStr">
        <is>
          <t>Workplace</t>
        </is>
      </c>
      <c r="B13" s="18">
        <f>COUNTIF(Scenarios!$C$2:$C$415,A13)</f>
        <v/>
      </c>
      <c r="C13" s="20" t="n">
        <v>0</v>
      </c>
      <c r="D13" s="18">
        <f>B13+C13</f>
        <v/>
      </c>
      <c r="E13" s="21" t="inlineStr">
        <is>
          <t>Input: the six scenarios already in the app, which Cursor migrates into this workbook.</t>
        </is>
      </c>
    </row>
    <row r="14" ht="15" customHeight="1" s="15">
      <c r="A14" s="18" t="inlineStr">
        <is>
          <t>Healthcare</t>
        </is>
      </c>
      <c r="B14" s="18">
        <f>COUNTIF(Scenarios!$C$2:$C$415,A14)</f>
        <v/>
      </c>
      <c r="C14" s="20" t="n">
        <v>0</v>
      </c>
      <c r="D14" s="18">
        <f>B14+C14</f>
        <v/>
      </c>
      <c r="E14" s="21" t="n"/>
    </row>
    <row r="15" ht="15" customHeight="1" s="15">
      <c r="A15" s="18" t="inlineStr">
        <is>
          <t>Housing &amp; landlord</t>
        </is>
      </c>
      <c r="B15" s="18">
        <f>COUNTIF(Scenarios!$C$2:$C$415,A15)</f>
        <v/>
      </c>
      <c r="C15" s="20" t="n">
        <v>0</v>
      </c>
      <c r="D15" s="18">
        <f>B15+C15</f>
        <v/>
      </c>
      <c r="E15" s="21" t="n"/>
    </row>
    <row r="16" ht="15" customHeight="1" s="15">
      <c r="A16" s="18" t="inlineStr">
        <is>
          <t>Job search</t>
        </is>
      </c>
      <c r="B16" s="18">
        <f>COUNTIF(Scenarios!$C$2:$C$415,A16)</f>
        <v/>
      </c>
      <c r="C16" s="20" t="n">
        <v>0</v>
      </c>
      <c r="D16" s="18">
        <f>B16+C16</f>
        <v/>
      </c>
      <c r="E16" s="21" t="n"/>
    </row>
    <row r="17" ht="15" customHeight="1" s="15">
      <c r="A17" s="18" t="inlineStr">
        <is>
          <t>Social</t>
        </is>
      </c>
      <c r="B17" s="18">
        <f>COUNTIF(Scenarios!$C$2:$C$415,A17)</f>
        <v/>
      </c>
      <c r="C17" s="20" t="n">
        <v>0</v>
      </c>
      <c r="D17" s="18">
        <f>B17+C17</f>
        <v/>
      </c>
      <c r="E17" s="21" t="n"/>
    </row>
    <row r="18" ht="15" customHeight="1" s="15">
      <c r="A18" s="18" t="inlineStr">
        <is>
          <t>Admin &amp; bureaucracy</t>
        </is>
      </c>
      <c r="B18" s="18">
        <f>COUNTIF(Scenarios!$C$2:$C$415,A18)</f>
        <v/>
      </c>
      <c r="C18" s="20" t="n">
        <v>0</v>
      </c>
      <c r="D18" s="18">
        <f>B18+C18</f>
        <v/>
      </c>
      <c r="E18" s="21" t="n"/>
    </row>
    <row r="19" ht="15" customHeight="1" s="15">
      <c r="A19" s="18" t="inlineStr">
        <is>
          <t>Education</t>
        </is>
      </c>
      <c r="B19" s="18">
        <f>COUNTIF(Scenarios!$C$2:$C$415,A19)</f>
        <v/>
      </c>
      <c r="C19" s="20" t="n">
        <v>0</v>
      </c>
      <c r="D19" s="18">
        <f>B19+C19</f>
        <v/>
      </c>
      <c r="E19" s="21" t="n"/>
    </row>
    <row r="20" ht="15" customHeight="1" s="15">
      <c r="A20" s="18" t="inlineStr">
        <is>
          <t>Dating &amp; relationships</t>
        </is>
      </c>
      <c r="B20" s="18">
        <f>COUNTIF(Scenarios!$C$2:$C$415,A20)</f>
        <v/>
      </c>
      <c r="C20" s="20" t="n">
        <v>0</v>
      </c>
      <c r="D20" s="18">
        <f>B20+C20</f>
        <v/>
      </c>
      <c r="E20" s="21" t="n"/>
    </row>
    <row r="21" ht="15" customHeight="1" s="15">
      <c r="A21" s="18" t="inlineStr">
        <is>
          <t>Money &amp; transactions</t>
        </is>
      </c>
      <c r="B21" s="18">
        <f>COUNTIF(Scenarios!$C$2:$C$415,A21)</f>
        <v/>
      </c>
      <c r="C21" s="20" t="n">
        <v>0</v>
      </c>
      <c r="D21" s="18">
        <f>B21+C21</f>
        <v/>
      </c>
      <c r="E21" s="21" t="n"/>
    </row>
    <row r="22" ht="15" customHeight="1" s="15">
      <c r="A22" s="18" t="inlineStr">
        <is>
          <t>Transport &amp; commuting</t>
        </is>
      </c>
      <c r="B22" s="18">
        <f>COUNTIF(Scenarios!$C$2:$C$415,A22)</f>
        <v/>
      </c>
      <c r="C22" s="20" t="n">
        <v>0</v>
      </c>
      <c r="D22" s="18">
        <f>B22+C22</f>
        <v/>
      </c>
      <c r="E22" s="21" t="n"/>
    </row>
    <row r="23" ht="15" customHeight="1" s="15">
      <c r="A23" s="18" t="inlineStr">
        <is>
          <t>Neighbours &amp; community</t>
        </is>
      </c>
      <c r="B23" s="18">
        <f>COUNTIF(Scenarios!$C$2:$C$415,A23)</f>
        <v/>
      </c>
      <c r="C23" s="20" t="n">
        <v>0</v>
      </c>
      <c r="D23" s="18">
        <f>B23+C23</f>
        <v/>
      </c>
      <c r="E23" s="21" t="n"/>
    </row>
    <row r="24" ht="15" customHeight="1" s="15">
      <c r="A24" s="18" t="inlineStr">
        <is>
          <t>Customer service &amp; retail</t>
        </is>
      </c>
      <c r="B24" s="18">
        <f>COUNTIF(Scenarios!$C$2:$C$415,A24)</f>
        <v/>
      </c>
      <c r="C24" s="20" t="n">
        <v>0</v>
      </c>
      <c r="D24" s="18">
        <f>B24+C24</f>
        <v/>
      </c>
      <c r="E24" s="21" t="n"/>
    </row>
    <row r="25" ht="15" customHeight="1" s="15">
      <c r="A25" s="17" t="inlineStr">
        <is>
          <t>Total</t>
        </is>
      </c>
      <c r="B25" s="17">
        <f>SUM(B13:B24)</f>
        <v/>
      </c>
      <c r="C25" s="17">
        <f>SUM(C13:C24)</f>
        <v/>
      </c>
      <c r="D25" s="17">
        <f>SUM(D13:D24)</f>
        <v/>
      </c>
    </row>
  </sheetData>
  <mergeCells count="8">
    <mergeCell ref="B9:E9"/>
    <mergeCell ref="B8:E8"/>
    <mergeCell ref="B4:E4"/>
    <mergeCell ref="B6:E6"/>
    <mergeCell ref="B7:E7"/>
    <mergeCell ref="B3:E3"/>
    <mergeCell ref="B5:E5"/>
    <mergeCell ref="B10:E1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12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4" min="1" max="1"/>
    <col width="34" customWidth="1" style="14" min="2" max="2"/>
    <col width="20" customWidth="1" style="14" min="3" max="3"/>
    <col width="44" customWidth="1" style="14" min="4" max="4"/>
    <col width="22" customWidth="1" style="14" min="5" max="5"/>
    <col width="38" customWidth="1" style="14" min="6" max="6"/>
    <col width="40" customWidth="1" style="14" min="7" max="7"/>
    <col width="34" customWidth="1" style="14" min="8" max="8"/>
    <col width="40" customWidth="1" style="14" min="9" max="9"/>
    <col width="34" customWidth="1" style="14" min="10" max="10"/>
    <col width="40" customWidth="1" style="14" min="11" max="11"/>
    <col width="11" customWidth="1" style="14" min="12" max="12"/>
    <col width="26" customWidth="1" style="14" min="13" max="13"/>
    <col width="11" customWidth="1" style="14" min="14" max="14"/>
    <col width="32" customWidth="1" style="14" min="15" max="15"/>
    <col width="12" customWidth="1" style="14" min="16" max="16"/>
    <col width="44" customWidth="1" style="14" min="17" max="18"/>
  </cols>
  <sheetData>
    <row r="1" ht="33.75" customHeight="1" s="15">
      <c r="A1" s="22" t="inlineStr">
        <is>
          <t>Scenario ID</t>
        </is>
      </c>
      <c r="B1" s="22" t="inlineStr">
        <is>
          <t>Norm ID</t>
        </is>
      </c>
      <c r="C1" s="22" t="inlineStr">
        <is>
          <t>Category</t>
        </is>
      </c>
      <c r="D1" s="22" t="inlineStr">
        <is>
          <t>Setup</t>
        </is>
      </c>
      <c r="E1" s="22" t="inlineStr">
        <is>
          <t>Prompt</t>
        </is>
      </c>
      <c r="F1" s="22" t="inlineStr">
        <is>
          <t>Right answer</t>
        </is>
      </c>
      <c r="G1" s="22" t="inlineStr">
        <is>
          <t>Right-answer feedback</t>
        </is>
      </c>
      <c r="H1" s="22" t="inlineStr">
        <is>
          <t>Wrong answer 1</t>
        </is>
      </c>
      <c r="I1" s="22" t="inlineStr">
        <is>
          <t>Wrong 1 feedback</t>
        </is>
      </c>
      <c r="J1" s="22" t="inlineStr">
        <is>
          <t>Wrong answer 2</t>
        </is>
      </c>
      <c r="K1" s="22" t="inlineStr">
        <is>
          <t>Wrong 2 feedback</t>
        </is>
      </c>
      <c r="L1" s="22" t="inlineStr">
        <is>
          <t>Status</t>
        </is>
      </c>
      <c r="M1" s="22" t="inlineStr">
        <is>
          <t>Review state</t>
        </is>
      </c>
      <c r="N1" s="22" t="inlineStr">
        <is>
          <t>Spot-check first</t>
        </is>
      </c>
      <c r="O1" s="22" t="inlineStr">
        <is>
          <t>Review notes</t>
        </is>
      </c>
      <c r="P1" s="22" t="inlineStr">
        <is>
          <t>Longest feedback (chars)</t>
        </is>
      </c>
      <c r="Q1" s="22" t="inlineStr">
        <is>
          <t>Entry: What It Actually Means</t>
        </is>
      </c>
      <c r="R1" s="22" t="inlineStr">
        <is>
          <t>Entry: Good Response</t>
        </is>
      </c>
    </row>
    <row r="2" ht="60" customHeight="1" s="15">
      <c r="A2" s="23" t="inlineStr">
        <is>
          <t>SC-WP-2-a</t>
        </is>
      </c>
      <c r="B2" s="23" t="inlineStr">
        <is>
          <t>WP-2-promotion-discussion-indirectness</t>
        </is>
      </c>
      <c r="C2" s="23" t="inlineStr">
        <is>
          <t>Workplace</t>
        </is>
      </c>
      <c r="D2" s="23" t="inlineStr">
        <is>
          <t>You ask your manager about a promotion. She says, “It's definitely something we can look at.” No date is mentioned.</t>
        </is>
      </c>
      <c r="E2" s="23" t="inlineStr">
        <is>
          <t>What do you do?</t>
        </is>
      </c>
      <c r="F2" s="23" t="inlineStr">
        <is>
          <t>Ask to set a date to revisit it, and what she'd want to see from you before then.</t>
        </is>
      </c>
      <c r="G2" s="23" t="inlineStr">
        <is>
          <t>Warm language isn't a promise. A real commitment usually comes with a date or a documented next step.</t>
        </is>
      </c>
      <c r="H2" s="23" t="inlineStr">
        <is>
          <t>Take it as a near-term commitment and wait.</t>
        </is>
      </c>
      <c r="I2" s="23" t="inlineStr">
        <is>
          <t>It's a deferral, not a promise. With no date attached, nothing is actually in motion.</t>
        </is>
      </c>
      <c r="J2" s="23" t="inlineStr">
        <is>
          <t>Drop the subject so you don't seem pushy.</t>
        </is>
      </c>
      <c r="K2" s="23" t="inlineStr">
        <is>
          <t>Asking for a concrete next step is normal. Dropping it leaves a vague deferral vague.</t>
        </is>
      </c>
      <c r="L2" s="23" t="inlineStr">
        <is>
          <t>Approved</t>
        </is>
      </c>
      <c r="M2" s="23" t="inlineStr">
        <is>
          <t>Bulk-approved by founder; item review pending</t>
        </is>
      </c>
      <c r="N2" s="24" t="n"/>
      <c r="O2" s="23" t="n"/>
      <c r="P2" s="25">
        <f>MAX(LEN(G2),LEN(I2),LEN(K2))</f>
        <v/>
      </c>
      <c r="Q2" s="26" t="inlineStr">
        <is>
          <t>Not a promise — it's a deferral. A real commitment usually comes with a specific date or documented next step, not just warm language.</t>
        </is>
      </c>
      <c r="R2" s="26" t="inlineStr">
        <is>
          <t>Ask for something concrete: "Could we set a specific date to revisit this, and what would you want to see from me before then?"</t>
        </is>
      </c>
    </row>
    <row r="3" ht="60" customHeight="1" s="15">
      <c r="A3" s="23" t="inlineStr">
        <is>
          <t>SC-WP-4-a</t>
        </is>
      </c>
      <c r="B3" s="23" t="inlineStr">
        <is>
          <t>WP-4-deadline-reminder-escalation</t>
        </is>
      </c>
      <c r="C3" s="23" t="inlineStr">
        <is>
          <t>Workplace</t>
        </is>
      </c>
      <c r="D3" s="23" t="inlineStr">
        <is>
          <t>Your manager emails: “Just a gentle reminder about the report.” Three days later: “Following up again on this.” You haven't sent it yet.</t>
        </is>
      </c>
      <c r="E3" s="23" t="inlineStr">
        <is>
          <t>How do you read the second email?</t>
        </is>
      </c>
      <c r="F3" s="23" t="inlineStr">
        <is>
          <t>As rising urgency. Treat the task as a priority now.</t>
        </is>
      </c>
      <c r="G3" s="23" t="inlineStr">
        <is>
          <t>Repetition is the real signal. Each “gentle” reminder means urgency is rising, however mild it sounds.</t>
        </is>
      </c>
      <c r="H3" s="23" t="inlineStr">
        <is>
          <t>As routine politeness. There's still no rush.</t>
        </is>
      </c>
      <c r="I3" s="23" t="inlineStr">
        <is>
          <t>The wording stays polite, but a second follow-up on the same task is a priority signal.</t>
        </is>
      </c>
      <c r="J3" s="23" t="inlineStr">
        <is>
          <t>Wait for a third reminder before acting.</t>
        </is>
      </c>
      <c r="K3" s="23" t="inlineStr">
        <is>
          <t>The third is usually direct, such as “I need this by end of day”. Don't wait for it.</t>
        </is>
      </c>
      <c r="L3" s="23" t="inlineStr">
        <is>
          <t>Approved</t>
        </is>
      </c>
      <c r="M3" s="23" t="inlineStr">
        <is>
          <t>Bulk-approved by founder; item review pending</t>
        </is>
      </c>
      <c r="N3" s="27" t="inlineStr">
        <is>
          <t>Yes</t>
        </is>
      </c>
      <c r="O3" s="23" t="n"/>
      <c r="P3" s="25">
        <f>MAX(LEN(G3),LEN(I3),LEN(K3))</f>
        <v/>
      </c>
      <c r="Q3" s="26" t="inlineStr">
        <is>
          <t>Each repeated "gentle" reminder signals rising urgency, even though the wording stays polite — treat repetition itself as the real signal.</t>
        </is>
      </c>
      <c r="R3" s="26" t="inlineStr">
        <is>
          <t>Treat any second follow-up on the same task as a priority signal, regardless of how mild the wording still sounds.</t>
        </is>
      </c>
    </row>
    <row r="4" ht="75" customHeight="1" s="15">
      <c r="A4" s="23" t="inlineStr">
        <is>
          <t>SC-WP-6-a</t>
        </is>
      </c>
      <c r="B4" s="23" t="inlineStr">
        <is>
          <t>WP-6-agreement-in-meetings-silence</t>
        </is>
      </c>
      <c r="C4" s="23" t="inlineStr">
        <is>
          <t>Workplace</t>
        </is>
      </c>
      <c r="D4" s="23" t="inlineStr">
        <is>
          <t>You present a plan in a team meeting. Everyone nods and says it could work. Nobody pushes back.</t>
        </is>
      </c>
      <c r="E4" s="23" t="inlineStr">
        <is>
          <t>What do you do next?</t>
        </is>
      </c>
      <c r="F4" s="23" t="inlineStr">
        <is>
          <t>Check with key people one by one: “Any concerns before I move ahead?”</t>
        </is>
      </c>
      <c r="G4" s="23" t="inlineStr">
        <is>
          <t>Real objections are often saved for a private conversation, so agreement in the room can be provisional.</t>
        </is>
      </c>
      <c r="H4" s="23" t="inlineStr">
        <is>
          <t>Treat it as settled and go ahead.</t>
        </is>
      </c>
      <c r="I4" s="23" t="inlineStr">
        <is>
          <t>Agreement in the room can be provisional. Concerns often arrive later, in private.</t>
        </is>
      </c>
      <c r="J4" s="23" t="inlineStr">
        <is>
          <t>Ask the whole group again if anyone disagrees.</t>
        </is>
      </c>
      <c r="K4" s="23" t="inlineStr">
        <is>
          <t>People rarely voice objections in front of the group. A private follow-up invites them.</t>
        </is>
      </c>
      <c r="L4" s="23" t="inlineStr">
        <is>
          <t>Approved</t>
        </is>
      </c>
      <c r="M4" s="23" t="inlineStr">
        <is>
          <t>Bulk-approved by founder; item review pending</t>
        </is>
      </c>
      <c r="N4" s="24" t="n"/>
      <c r="O4" s="23" t="n"/>
      <c r="P4" s="25">
        <f>MAX(LEN(G4),LEN(I4),LEN(K4))</f>
        <v/>
      </c>
      <c r="Q4" s="26" t="inlineStr">
        <is>
          <t>Real objections are often saved for a private, one-on-one follow-up rather than voiced in front of the group — the meeting-room agreement can be provisional, not final.</t>
        </is>
      </c>
      <c r="R4" s="26" t="inlineStr">
        <is>
          <t>After a meeting where a decision was made, follow up individually with key people: “Any concerns before I move ahead with this?” — invites private pushback before it's too late to change course.</t>
        </is>
      </c>
    </row>
    <row r="5" ht="60" customHeight="1" s="15">
      <c r="A5" s="23" t="inlineStr">
        <is>
          <t>SC-WP-7-a</t>
        </is>
      </c>
      <c r="B5" s="23" t="inlineStr">
        <is>
          <t>WP-7-cc-escalation-email</t>
        </is>
      </c>
      <c r="C5" s="23" t="inlineStr">
        <is>
          <t>Workplace</t>
        </is>
      </c>
      <c r="D5" s="23" t="inlineStr">
        <is>
          <t>In a routine email chain about a project, a colleague suddenly CCs your manager. There's no explanation and the tone stays friendly.</t>
        </is>
      </c>
      <c r="E5" s="23" t="inlineStr">
        <is>
          <t>What does the CC most likely mean?</t>
        </is>
      </c>
      <c r="F5" s="23" t="inlineStr">
        <is>
          <t>The issue is being put on record. Ask plainly if there's a concern to address.</t>
        </is>
      </c>
      <c r="G5" s="23" t="inlineStr">
        <is>
          <t>A sudden CC often marks the point an issue is formally tracked, even when the tone stays friendly.</t>
        </is>
      </c>
      <c r="H5" s="23" t="inlineStr">
        <is>
          <t>Nothing. It's just keeping people in the loop.</t>
        </is>
      </c>
      <c r="I5" s="23" t="inlineStr">
        <is>
          <t>With no explanation, a new CC usually means the sender wants it on record.</t>
        </is>
      </c>
      <c r="J5" s="23" t="inlineStr">
        <is>
          <t>A friendly gesture to share credit.</t>
        </is>
      </c>
      <c r="K5" s="23" t="inlineStr">
        <is>
          <t>The friendly tone can mislead. A new CC with no explanation more often signals escalation.</t>
        </is>
      </c>
      <c r="L5" s="23" t="inlineStr">
        <is>
          <t>Approved</t>
        </is>
      </c>
      <c r="M5" s="23" t="inlineStr">
        <is>
          <t>Bulk-approved by founder; item review pending</t>
        </is>
      </c>
      <c r="N5" s="24" t="n"/>
      <c r="O5" s="23" t="n"/>
      <c r="P5" s="25">
        <f>MAX(LEN(G5),LEN(I5),LEN(K5))</f>
        <v/>
      </c>
      <c r="Q5" s="26" t="inlineStr">
        <is>
          <t>This often marks the point an issue is being formally tracked or escalated, even though the email's tone may stay friendly and unchanged.</t>
        </is>
      </c>
      <c r="R5" s="26" t="inlineStr">
        <is>
          <t>When newly CC'd people appear, ask plainly: “Just flagging — is there a concern here I should be addressing directly?”</t>
        </is>
      </c>
    </row>
    <row r="6" ht="61.5" customHeight="1" s="15">
      <c r="A6" s="23" t="inlineStr">
        <is>
          <t>SC-WP-8-a</t>
        </is>
      </c>
      <c r="B6" s="23" t="inlineStr">
        <is>
          <t>WP-8-sorry-to-bother-request</t>
        </is>
      </c>
      <c r="C6" s="23" t="inlineStr">
        <is>
          <t>Workplace</t>
        </is>
      </c>
      <c r="D6" s="23" t="inlineStr">
        <is>
          <t>Your manager says: “Sorry to bother you, this is probably nothing, but could you rewrite the report by end of day?”</t>
        </is>
      </c>
      <c r="E6" s="23" t="inlineStr">
        <is>
          <t>How big is the ask?</t>
        </is>
      </c>
      <c r="F6" s="23" t="inlineStr">
        <is>
          <t>As big as it sounds: a full rewrite, due today.</t>
        </is>
      </c>
      <c r="G6" s="23" t="inlineStr">
        <is>
          <t>The apology softens the tone, not the size or urgency. Take the request itself at face value.</t>
        </is>
      </c>
      <c r="H6" s="23" t="inlineStr">
        <is>
          <t>Small. They said it's probably nothing.</t>
        </is>
      </c>
      <c r="I6" s="23" t="inlineStr">
        <is>
          <t>The “probably nothing” is politeness. A same-day rewrite is a substantial request.</t>
        </is>
      </c>
      <c r="J6" s="23" t="inlineStr">
        <is>
          <t>Fine to do later in the week.</t>
        </is>
      </c>
      <c r="K6" s="23" t="inlineStr">
        <is>
          <t>The deadline in the request is real, whatever the soft opening says.</t>
        </is>
      </c>
      <c r="L6" s="23" t="inlineStr">
        <is>
          <t>Approved</t>
        </is>
      </c>
      <c r="M6" s="23" t="inlineStr">
        <is>
          <t>Bulk-approved by founder; item review pending</t>
        </is>
      </c>
      <c r="N6" s="24" t="n"/>
      <c r="O6" s="23" t="n"/>
      <c r="P6" s="25">
        <f>MAX(LEN(G6),LEN(I6),LEN(K6))</f>
        <v/>
      </c>
      <c r="Q6" s="26" t="inlineStr">
        <is>
          <t>The apology softens the tone of the request but doesn't reflect its actual size or urgency — take the request itself at face value, not the apology.</t>
        </is>
      </c>
      <c r="R6" s="26" t="inlineStr">
        <is>
          <t>Treat the substance of the ask, not the softening language, as the real signal of urgency and size.</t>
        </is>
      </c>
    </row>
    <row r="7" ht="61.5" customHeight="1" s="15">
      <c r="A7" s="23" t="inlineStr">
        <is>
          <t>SC-WP-10-a</t>
        </is>
      </c>
      <c r="B7" s="23" t="inlineStr">
        <is>
          <t>WP-10-feedback-sandwich</t>
        </is>
      </c>
      <c r="C7" s="23" t="inlineStr">
        <is>
          <t>Workplace</t>
        </is>
      </c>
      <c r="D7" s="23" t="inlineStr">
        <is>
          <t>Your manager says: “Great presentation. Maybe tighten the data section next time, but overall really well done.”</t>
        </is>
      </c>
      <c r="E7" s="23" t="inlineStr">
        <is>
          <t>What's the main thing to take from this?</t>
        </is>
      </c>
      <c r="F7" s="23" t="inlineStr">
        <is>
          <t>The data section needs work. Repeat it back to confirm.</t>
        </is>
      </c>
      <c r="G7" s="23" t="inlineStr">
        <is>
          <t>The critical point often sits in the middle: short in words, but not small in importance.</t>
        </is>
      </c>
      <c r="H7" s="23" t="inlineStr">
        <is>
          <t>That it went really well and nothing needs changing.</t>
        </is>
      </c>
      <c r="I7" s="23" t="inlineStr">
        <is>
          <t>That misses the middle comment, which is often the real point of the feedback.</t>
        </is>
      </c>
      <c r="J7" s="23" t="inlineStr">
        <is>
          <t>That your manager thought the whole presentation was weak.</t>
        </is>
      </c>
      <c r="K7" s="23" t="inlineStr">
        <is>
          <t>That's an overreaction. The specific point is the data section, not the whole presentation.</t>
        </is>
      </c>
      <c r="L7" s="23" t="inlineStr">
        <is>
          <t>Approved</t>
        </is>
      </c>
      <c r="M7" s="23" t="inlineStr">
        <is>
          <t>Bulk-approved by founder; item review pending</t>
        </is>
      </c>
      <c r="N7" s="24" t="n"/>
      <c r="O7" s="23" t="n"/>
      <c r="P7" s="25">
        <f>MAX(LEN(G7),LEN(I7),LEN(K7))</f>
        <v/>
      </c>
      <c r="Q7" s="26" t="inlineStr">
        <is>
          <t>The middle comment is often the actual, most important point of the feedback — proportionally small wording doesn't mean proportionally small importance.</t>
        </is>
      </c>
      <c r="R7" s="26" t="inlineStr">
        <is>
          <t>When feedback includes a “middle” point, repeat it back to confirm: “So the main thing to work on is the data section — got it.”</t>
        </is>
      </c>
    </row>
    <row r="8" ht="61.5" customHeight="1" s="15">
      <c r="A8" s="23" t="inlineStr">
        <is>
          <t>SC-WP-12-a</t>
        </is>
      </c>
      <c r="B8" s="23" t="inlineStr">
        <is>
          <t>WP-12-calendar-invite-formality</t>
        </is>
      </c>
      <c r="C8" s="23" t="inlineStr">
        <is>
          <t>Workplace</t>
        </is>
      </c>
      <c r="D8" s="23" t="inlineStr">
        <is>
          <t>After weeks of casual chat messages, your manager sends a calendar invite with a specific title and agenda for the same topic.</t>
        </is>
      </c>
      <c r="E8" s="23" t="inlineStr">
        <is>
          <t>How do you approach the meeting?</t>
        </is>
      </c>
      <c r="F8" s="23" t="inlineStr">
        <is>
          <t>Prepare as for a formal conversation.</t>
        </is>
      </c>
      <c r="G8" s="23" t="inlineStr">
        <is>
          <t>Moving from chat to a scheduled invite is itself a signal the matter is being taken more seriously.</t>
        </is>
      </c>
      <c r="H8" s="23" t="inlineStr">
        <is>
          <t>Treat it as routine and go in unprepared.</t>
        </is>
      </c>
      <c r="I8" s="23" t="inlineStr">
        <is>
          <t>An invite for a topic normally handled informally is a shift. Assuming it's routine misses it.</t>
        </is>
      </c>
      <c r="J8" s="23" t="inlineStr">
        <is>
          <t>Ask to keep it as an informal chat instead.</t>
        </is>
      </c>
      <c r="K8" s="23" t="inlineStr">
        <is>
          <t>The formal invite was a deliberate choice. Preparing for it is the safer reading.</t>
        </is>
      </c>
      <c r="L8" s="23" t="inlineStr">
        <is>
          <t>Approved</t>
        </is>
      </c>
      <c r="M8" s="23" t="inlineStr">
        <is>
          <t>Bulk-approved by founder; item review pending</t>
        </is>
      </c>
      <c r="N8" s="24" t="n"/>
      <c r="O8" s="23" t="n"/>
      <c r="P8" s="25">
        <f>MAX(LEN(G8),LEN(I8),LEN(K8))</f>
        <v/>
      </c>
      <c r="Q8" s="26" t="inlineStr">
        <is>
          <t>The shift from informal chat to a scheduled invite is itself a signal the matter is being taken more seriously or formally than before.</t>
        </is>
      </c>
      <c r="R8" s="26" t="inlineStr">
        <is>
          <t>When an invite appears for a topic normally handled informally, prepare as if for a formal conversation rather than assuming it's purely routine.</t>
        </is>
      </c>
    </row>
    <row r="9" ht="61.5" customHeight="1" s="15">
      <c r="A9" s="23" t="inlineStr">
        <is>
          <t>SC-WP-13-a</t>
        </is>
      </c>
      <c r="B9" s="23" t="inlineStr">
        <is>
          <t>WP-13-not-the-right-forum</t>
        </is>
      </c>
      <c r="C9" s="23" t="inlineStr">
        <is>
          <t>Workplace</t>
        </is>
      </c>
      <c r="D9" s="23" t="inlineStr">
        <is>
          <t>In a team meeting you raise a budget concern. The lead replies, “This might not be the right forum for that.”</t>
        </is>
      </c>
      <c r="E9" s="23" t="inlineStr">
        <is>
          <t>What do you do?</t>
        </is>
      </c>
      <c r="F9" s="23" t="inlineStr">
        <is>
          <t>Follow up directly afterwards: “Could we find 15 minutes to go through the budget point?”</t>
        </is>
      </c>
      <c r="G9" s="23" t="inlineStr">
        <is>
          <t>It usually means they don't want to address it in front of the group, not that the point is wrong.</t>
        </is>
      </c>
      <c r="H9" s="23" t="inlineStr">
        <is>
          <t>Wait for them to bring it up again.</t>
        </is>
      </c>
      <c r="I9" s="23" t="inlineStr">
        <is>
          <t>Without a follow-up from you, it usually never comes back.</t>
        </is>
      </c>
      <c r="J9" s="23" t="inlineStr">
        <is>
          <t>Assume the budget concern doesn't matter.</t>
        </is>
      </c>
      <c r="K9" s="23" t="inlineStr">
        <is>
          <t>It's the venue they're avoiding, not the issue. A direct follow-up gets it heard.</t>
        </is>
      </c>
      <c r="L9" s="23" t="inlineStr">
        <is>
          <t>Approved</t>
        </is>
      </c>
      <c r="M9" s="23" t="inlineStr">
        <is>
          <t>Bulk-approved by founder; item review pending</t>
        </is>
      </c>
      <c r="N9" s="24" t="n"/>
      <c r="O9" s="23" t="n"/>
      <c r="P9" s="25">
        <f>MAX(LEN(G9),LEN(I9),LEN(K9))</f>
        <v/>
      </c>
      <c r="Q9" s="26" t="inlineStr">
        <is>
          <t>This usually means the person doesn't want to address the point in front of the group, not that the venue is genuinely wrong.</t>
        </is>
      </c>
      <c r="R9" s="26" t="inlineStr">
        <is>
          <t>Follow up directly and specifically afterward: "Could we find 15 minutes to go through the budget point from earlier?" rather than waiting for the other person to raise it again.</t>
        </is>
      </c>
    </row>
    <row r="10" ht="60" customHeight="1" s="15">
      <c r="A10" s="23" t="inlineStr">
        <is>
          <t>SC-WP-15-a</t>
        </is>
      </c>
      <c r="B10" s="23" t="inlineStr">
        <is>
          <t>WP-15-meeting-jargon-deferral</t>
        </is>
      </c>
      <c r="C10" s="23" t="inlineStr">
        <is>
          <t>Workplace</t>
        </is>
      </c>
      <c r="D10" s="23" t="inlineStr">
        <is>
          <t>A colleague loves your idea in a meeting. The lead says, “Let's park that for now.” No date or owner is mentioned.</t>
        </is>
      </c>
      <c r="E10" s="23" t="inlineStr">
        <is>
          <t>What do you do?</t>
        </is>
      </c>
      <c r="F10" s="23" t="inlineStr">
        <is>
          <t>Ask for a next step on the spot: “Who should bring this back, and roughly when?”</t>
        </is>
      </c>
      <c r="G10" s="23" t="inlineStr">
        <is>
          <t>Without a concrete next step, a parked topic often quietly drops.</t>
        </is>
      </c>
      <c r="H10" s="23" t="inlineStr">
        <is>
          <t>Assume it will be revisited soon.</t>
        </is>
      </c>
      <c r="I10" s="23" t="inlineStr">
        <is>
          <t>It usually isn't, unless someone owns it and a date is set.</t>
        </is>
      </c>
      <c r="J10" s="23" t="inlineStr">
        <is>
          <t>Take it as a polite no and forget it.</t>
        </is>
      </c>
      <c r="K10" s="23" t="inlineStr">
        <is>
          <t>It may not be a no. Asking for an owner and a date finds out.</t>
        </is>
      </c>
      <c r="L10" s="23" t="inlineStr">
        <is>
          <t>Approved</t>
        </is>
      </c>
      <c r="M10" s="23" t="inlineStr">
        <is>
          <t>Bulk-approved by founder; item review pending</t>
        </is>
      </c>
      <c r="N10" s="24" t="n"/>
      <c r="O10" s="23" t="n"/>
      <c r="P10" s="25">
        <f>MAX(LEN(G10),LEN(I10),LEN(K10))</f>
        <v/>
      </c>
      <c r="Q10" s="26" t="inlineStr">
        <is>
          <t>Without a concrete next step attached, "parking" a topic often means it quietly drops rather than genuinely pausing.</t>
        </is>
      </c>
      <c r="R10" s="26" t="inlineStr">
        <is>
          <t>When something is parked, ask for a concrete next step on the spot: "Who should own bringing this back, and roughly when?"</t>
        </is>
      </c>
    </row>
    <row r="11" ht="102" customHeight="1" s="15">
      <c r="A11" s="23" t="inlineStr">
        <is>
          <t>SC-HC-2-a</t>
        </is>
      </c>
      <c r="B11" s="23" t="inlineStr">
        <is>
          <t>HC-2-referral-wait-silence</t>
        </is>
      </c>
      <c r="C11" s="23" t="inlineStr">
        <is>
          <t>Healthcare</t>
        </is>
      </c>
      <c r="D11" s="23" t="inlineStr">
        <is>
          <t>Six weeks after a GP referral you've heard nothing. The letter said, “We'll be in touch once it's been reviewed.”</t>
        </is>
      </c>
      <c r="E11" s="23" t="inlineStr">
        <is>
          <t>What do you do?</t>
        </is>
      </c>
      <c r="F11" s="23" t="inlineStr">
        <is>
          <t>Call the surgery or referral line to check the status.</t>
        </is>
      </c>
      <c r="G11" s="23" t="inlineStr">
        <is>
          <t>Long waits reflect NHS process and backlog, not a dropped case. Asking is normal and expected.</t>
        </is>
      </c>
      <c r="H11" s="23" t="inlineStr">
        <is>
          <t>Assume the request was lost, and give up.</t>
        </is>
      </c>
      <c r="I11" s="23" t="inlineStr">
        <is>
          <t>Silence is common and doesn't mean your case was dropped. Checking is how you find out.</t>
        </is>
      </c>
      <c r="J11" s="23" t="inlineStr">
        <is>
          <t>Wait quietly, since calling would be rude.</t>
        </is>
      </c>
      <c r="K11" s="23" t="inlineStr">
        <is>
          <t>It isn't rude. Calling to check status is normal and expected.</t>
        </is>
      </c>
      <c r="L11" s="23" t="inlineStr">
        <is>
          <t>Approved</t>
        </is>
      </c>
      <c r="M11" s="23" t="inlineStr">
        <is>
          <t>Bulk-approved by founder; item review pending</t>
        </is>
      </c>
      <c r="N11" s="24" t="n"/>
      <c r="O11" s="23" t="n"/>
      <c r="P11" s="25">
        <f>MAX(LEN(G11),LEN(I11),LEN(K11))</f>
        <v/>
      </c>
      <c r="Q11" s="26" t="inlineStr">
        <is>
          <t>This reflects NHS process/backlog, not that the case was dropped — the official standard is 18 weeks from referral to treatment, but as of 2026 only around two-thirds of patients are actually being seen within that window nationally, so a longer wait is common, not exceptional.</t>
        </is>
      </c>
      <c r="R11" s="26" t="inlineStr">
        <is>
          <t>Call the GP surgery or hospital referral line directly to check status rather than assuming; this is normal and expected, not rude to ask.</t>
        </is>
      </c>
    </row>
    <row r="12" ht="60" customHeight="1" s="15">
      <c r="A12" s="23" t="inlineStr">
        <is>
          <t>SC-HC-3-a</t>
        </is>
      </c>
      <c r="B12" s="23" t="inlineStr">
        <is>
          <t>HC-3-nhs-111-triage-language</t>
        </is>
      </c>
      <c r="C12" s="23" t="inlineStr">
        <is>
          <t>Healthcare</t>
        </is>
      </c>
      <c r="D12" s="23" t="inlineStr">
        <is>
          <t>You phone 111 about a minor problem. The call ends with a long list: “If you get any of these symptoms, go to A&amp;E immediately.”</t>
        </is>
      </c>
      <c r="E12" s="23" t="inlineStr">
        <is>
          <t>How do you read the list?</t>
        </is>
      </c>
      <c r="F12" s="23" t="inlineStr">
        <is>
          <t>As standard safety wording. Ask how urgent your case is specifically.</t>
        </is>
      </c>
      <c r="G12" s="23" t="inlineStr">
        <is>
          <t>It's standard safety wording given to nearly everyone, not a specific escalation of your case.</t>
        </is>
      </c>
      <c r="H12" s="23" t="inlineStr">
        <is>
          <t>As a sign your case is more serious than they said.</t>
        </is>
      </c>
      <c r="I12" s="23" t="inlineStr">
        <is>
          <t>That's the common panic. The list is given to almost everyone.</t>
        </is>
      </c>
      <c r="J12" s="23" t="inlineStr">
        <is>
          <t>As something to ignore completely.</t>
        </is>
      </c>
      <c r="K12" s="23" t="inlineStr">
        <is>
          <t>Better to ask: “How urgent is this specifically?” That tells you what it means for you.</t>
        </is>
      </c>
      <c r="L12" s="23" t="inlineStr">
        <is>
          <t>Approved</t>
        </is>
      </c>
      <c r="M12" s="23" t="inlineStr">
        <is>
          <t>Bulk-approved by founder; item review pending</t>
        </is>
      </c>
      <c r="N12" s="24" t="n"/>
      <c r="O12" s="23" t="n"/>
      <c r="P12" s="25">
        <f>MAX(LEN(G12),LEN(I12),LEN(K12))</f>
        <v/>
      </c>
      <c r="Q12" s="26" t="inlineStr">
        <is>
          <t>This is defensive, standardized safety language given to nearly everyone, not a specific escalation of concern about your individual case.</t>
        </is>
      </c>
      <c r="R12" s="26" t="inlineStr">
        <is>
          <t>Ask directly: “Based on what I've told you, how urgent is this specifically?” rather than reading the standard safety list as a signal.</t>
        </is>
      </c>
    </row>
    <row r="13" ht="61.5" customHeight="1" s="15">
      <c r="A13" s="23" t="inlineStr">
        <is>
          <t>SC-HC-4-a</t>
        </is>
      </c>
      <c r="B13" s="23" t="inlineStr">
        <is>
          <t>HC-4-pharmacist-first-point-of-contact</t>
        </is>
      </c>
      <c r="C13" s="23" t="inlineStr">
        <is>
          <t>Healthcare</t>
        </is>
      </c>
      <c r="D13" s="23" t="inlineStr">
        <is>
          <t>You ring the surgery about a sore throat. The receptionist says, “Try the pharmacy first.”</t>
        </is>
      </c>
      <c r="E13" s="23" t="inlineStr">
        <is>
          <t>What does that mean?</t>
        </is>
      </c>
      <c r="F13" s="23" t="inlineStr">
        <is>
          <t>A standard route for minor issues. If symptoms persist, ask for a GP appointment.</t>
        </is>
      </c>
      <c r="G13" s="23" t="inlineStr">
        <is>
          <t>For minor issues it's an expected referral, not the surgery deflecting or downgrading your concern.</t>
        </is>
      </c>
      <c r="H13" s="23" t="inlineStr">
        <is>
          <t>That the surgery is brushing you off.</t>
        </is>
      </c>
      <c r="I13" s="23" t="inlineStr">
        <is>
          <t>It's a standard route for minor conditions, not a dismissal.</t>
        </is>
      </c>
      <c r="J13" s="23" t="inlineStr">
        <is>
          <t>That you should never see a GP for this.</t>
        </is>
      </c>
      <c r="K13" s="23" t="inlineStr">
        <is>
          <t>Not never. If symptoms persist after the pharmacy, that's the natural point to ask for a GP.</t>
        </is>
      </c>
      <c r="L13" s="23" t="inlineStr">
        <is>
          <t>Approved</t>
        </is>
      </c>
      <c r="M13" s="23" t="inlineStr">
        <is>
          <t>Bulk-approved by founder; item review pending</t>
        </is>
      </c>
      <c r="N13" s="24" t="n"/>
      <c r="O13" s="23" t="n"/>
      <c r="P13" s="25">
        <f>MAX(LEN(G13),LEN(I13),LEN(K13))</f>
        <v/>
      </c>
      <c r="Q13" s="26" t="inlineStr">
        <is>
          <t>This is a standard, expected referral for minor issues (rashes, coughs, UTIs, etc.), not the surgery deflecting or downgrading the concern.</t>
        </is>
      </c>
      <c r="R13" s="26" t="inlineStr">
        <is>
          <t>Treat a pharmacist referral as a genuine, appropriate option — and if symptoms persist after, that's the natural point to request a GP appointment.</t>
        </is>
      </c>
    </row>
    <row r="14" ht="61.5" customHeight="1" s="15">
      <c r="A14" s="23" t="inlineStr">
        <is>
          <t>SC-HC-5-a</t>
        </is>
      </c>
      <c r="B14" s="23" t="inlineStr">
        <is>
          <t>HC-5-patient-advocating-for-self</t>
        </is>
      </c>
      <c r="C14" s="23" t="inlineStr">
        <is>
          <t>Healthcare</t>
        </is>
      </c>
      <c r="D14" s="23" t="inlineStr">
        <is>
          <t>Your GP appointment is nearly over. The doctor says briefly, “Anything else?” You have a second, worrying symptom you haven't mentioned.</t>
        </is>
      </c>
      <c r="E14" s="23" t="inlineStr">
        <is>
          <t>What do you do?</t>
        </is>
      </c>
      <c r="F14" s="23" t="inlineStr">
        <is>
          <t>Say it directly: “Yes, there's one more thing I want to cover.”</t>
        </is>
      </c>
      <c r="G14" s="23" t="inlineStr">
        <is>
          <t>The system expects you to raise what matters. Staying quiet out of politeness reads as “nothing else”.</t>
        </is>
      </c>
      <c r="H14" s="23" t="inlineStr">
        <is>
          <t>Say “No, that's all” so you don't take up their time.</t>
        </is>
      </c>
      <c r="I14" s="23" t="inlineStr">
        <is>
          <t>That's read as nothing else, and the appointment ends without your main concern.</t>
        </is>
      </c>
      <c r="J14" s="23" t="inlineStr">
        <is>
          <t>Hint at it and hope the doctor picks up on it.</t>
        </is>
      </c>
      <c r="K14" s="23" t="inlineStr">
        <is>
          <t>A hint usually isn't picked up. State what matters directly and early.</t>
        </is>
      </c>
      <c r="L14" s="23" t="inlineStr">
        <is>
          <t>Approved</t>
        </is>
      </c>
      <c r="M14" s="23" t="inlineStr">
        <is>
          <t>Bulk-approved by founder; item review pending</t>
        </is>
      </c>
      <c r="N14" s="24" t="n"/>
      <c r="O14" s="23" t="n"/>
      <c r="P14" s="25">
        <f>MAX(LEN(G14),LEN(I14),LEN(K14))</f>
        <v/>
      </c>
      <c r="Q14" s="26" t="inlineStr">
        <is>
          <t>The system expects the patient to raise what matters to them proactively; staying quiet out of politeness or deference is read as “nothing else,” not as holding back out of respect.</t>
        </is>
      </c>
      <c r="R14" s="26" t="inlineStr">
        <is>
          <t>Prepare your 1-2 main points beforehand and state them directly and early: “There are two things I want to cover today: X and Y.”</t>
        </is>
      </c>
    </row>
    <row r="15" ht="60" customHeight="1" s="15">
      <c r="A15" s="23" t="inlineStr">
        <is>
          <t>SC-HC-8-a</t>
        </is>
      </c>
      <c r="B15" s="23" t="inlineStr">
        <is>
          <t>HC-8-watchful-waiting-approach</t>
        </is>
      </c>
      <c r="C15" s="23" t="inlineStr">
        <is>
          <t>Healthcare</t>
        </is>
      </c>
      <c r="D15" s="23" t="inlineStr">
        <is>
          <t>For a minor symptom the GP says, “Let's give it two weeks and see how it settles.” No tests or referral are offered.</t>
        </is>
      </c>
      <c r="E15" s="23" t="inlineStr">
        <is>
          <t>What do you do?</t>
        </is>
      </c>
      <c r="F15" s="23" t="inlineStr">
        <is>
          <t>Ask what signs would mean coming back sooner than two weeks.</t>
        </is>
      </c>
      <c r="G15" s="23" t="inlineStr">
        <is>
          <t>It's a deliberate strategy for conditions that often settle on their own, not a sign your concern is unimportant.</t>
        </is>
      </c>
      <c r="H15" s="23" t="inlineStr">
        <is>
          <t>Conclude the GP isn't taking you seriously.</t>
        </is>
      </c>
      <c r="I15" s="23" t="inlineStr">
        <is>
          <t>Waiting and reviewing is standard practice for many minor conditions.</t>
        </is>
      </c>
      <c r="J15" s="23" t="inlineStr">
        <is>
          <t>Don't go back at all unless it gets much worse.</t>
        </is>
      </c>
      <c r="K15" s="23" t="inlineStr">
        <is>
          <t>The plan depends on you returning if it hasn't improved, so ask what to watch for.</t>
        </is>
      </c>
      <c r="L15" s="23" t="inlineStr">
        <is>
          <t>Approved</t>
        </is>
      </c>
      <c r="M15" s="23" t="inlineStr">
        <is>
          <t>Bulk-approved by founder; item review pending</t>
        </is>
      </c>
      <c r="N15" s="24" t="n"/>
      <c r="O15" s="23" t="n"/>
      <c r="P15" s="25">
        <f>MAX(LEN(G15),LEN(I15),LEN(K15))</f>
        <v/>
      </c>
      <c r="Q15" s="26" t="inlineStr">
        <is>
          <t>This is a deliberate, evidence-based strategy for self-limiting conditions, not a sign the GP thinks the concern is unimportant.</t>
        </is>
      </c>
      <c r="R15" s="26" t="inlineStr">
        <is>
          <t>Ask directly what to watch for and when to return: "What specific signs would mean I should come back sooner than two weeks?"</t>
        </is>
      </c>
    </row>
    <row r="16" ht="60" customHeight="1" s="15">
      <c r="A16" s="23" t="inlineStr">
        <is>
          <t>SC-HC-9-a</t>
        </is>
      </c>
      <c r="B16" s="23" t="inlineStr">
        <is>
          <t>HC-9-econsult-online-triage-form</t>
        </is>
      </c>
      <c r="C16" s="23" t="inlineStr">
        <is>
          <t>Healthcare</t>
        </is>
      </c>
      <c r="D16" s="23" t="inlineStr">
        <is>
          <t>You ring your surgery and are told, “Please fill in the online form instead.”</t>
        </is>
      </c>
      <c r="E16" s="23" t="inlineStr">
        <is>
          <t>How do you take it?</t>
        </is>
      </c>
      <c r="F16" s="23" t="inlineStr">
        <is>
          <t>As the standard route. Use the form, and be specific and complete.</t>
        </is>
      </c>
      <c r="G16" s="23" t="inlineStr">
        <is>
          <t>It's the surgery's standard way of managing demand, not a barrier set against your request.</t>
        </is>
      </c>
      <c r="H16" s="23" t="inlineStr">
        <is>
          <t>As a brush-off. Keep ringing until someone answers.</t>
        </is>
      </c>
      <c r="I16" s="23" t="inlineStr">
        <is>
          <t>The form is how requests are normally triaged, often faster than expected.</t>
        </is>
      </c>
      <c r="J16" s="23" t="inlineStr">
        <is>
          <t>Fill it in with just a few words to save time.</t>
        </is>
      </c>
      <c r="K16" s="23" t="inlineStr">
        <is>
          <t>Be specific and complete. A detailed form is easier to triage properly.</t>
        </is>
      </c>
      <c r="L16" s="23" t="inlineStr">
        <is>
          <t>Approved</t>
        </is>
      </c>
      <c r="M16" s="23" t="inlineStr">
        <is>
          <t>Bulk-approved by founder; item review pending</t>
        </is>
      </c>
      <c r="N16" s="27" t="inlineStr">
        <is>
          <t>Yes</t>
        </is>
      </c>
      <c r="O16" s="23" t="n"/>
      <c r="P16" s="25">
        <f>MAX(LEN(G16),LEN(I16),LEN(K16))</f>
        <v/>
      </c>
      <c r="Q16" s="26" t="inlineStr">
        <is>
          <t>This is the surgery's standard triage process for managing demand, not a barrier placed specifically in front of this particular request.</t>
        </is>
      </c>
      <c r="R16" s="26" t="inlineStr">
        <is>
          <t>Use the online form as the primary channel and be specific and complete in it, since it's often triaged faster than expected.</t>
        </is>
      </c>
    </row>
    <row r="17" ht="61.5" customHeight="1" s="15">
      <c r="A17" s="23" t="inlineStr">
        <is>
          <t>SC-HC-10-a</t>
        </is>
      </c>
      <c r="B17" s="23" t="inlineStr">
        <is>
          <t>HC-10-same-day-urgent-only-gatekeeping</t>
        </is>
      </c>
      <c r="C17" s="23" t="inlineStr">
        <is>
          <t>Healthcare</t>
        </is>
      </c>
      <c r="D17" s="23" t="inlineStr">
        <is>
          <t>You call for an appointment and the receptionist asks, “Can I ask what it's regarding, so I can see who's best to help?” You feel embarrassed.</t>
        </is>
      </c>
      <c r="E17" s="23" t="inlineStr">
        <is>
          <t>What do you do?</t>
        </is>
      </c>
      <c r="F17" s="23" t="inlineStr">
        <is>
          <t>Answer factually and specifically, including how long you've had it.</t>
        </is>
      </c>
      <c r="G17" s="23" t="inlineStr">
        <is>
          <t>It's a standard triage question asked of everyone, not a test of whether your concern is valid.</t>
        </is>
      </c>
      <c r="H17" s="23" t="inlineStr">
        <is>
          <t>Refuse to say, since it's private.</t>
        </is>
      </c>
      <c r="I17" s="23" t="inlineStr">
        <is>
          <t>The question is routine. Answering helps route you to the right type of appointment.</t>
        </is>
      </c>
      <c r="J17" s="23" t="inlineStr">
        <is>
          <t>Stay vague so you don't seem to be fussing.</t>
        </is>
      </c>
      <c r="K17" s="23" t="inlineStr">
        <is>
          <t>Specifics get you routed faster. A vague answer makes the right appointment harder to pick.</t>
        </is>
      </c>
      <c r="L17" s="23" t="inlineStr">
        <is>
          <t>Approved</t>
        </is>
      </c>
      <c r="M17" s="23" t="inlineStr">
        <is>
          <t>Bulk-approved by founder; item review pending</t>
        </is>
      </c>
      <c r="N17" s="24" t="n"/>
      <c r="O17" s="23" t="n"/>
      <c r="P17" s="25">
        <f>MAX(LEN(G17),LEN(I17),LEN(K17))</f>
        <v/>
      </c>
      <c r="Q17" s="26" t="inlineStr">
        <is>
          <t>This question is a standard triage step for every patient, not scrutiny of whether this specific concern is valid.</t>
        </is>
      </c>
      <c r="R17" s="26" t="inlineStr">
        <is>
          <t>Answer the triage question factually and specifically, including how long the issue has lasted, to get routed to the right appointment type faster.</t>
        </is>
      </c>
    </row>
    <row r="18" ht="61.5" customHeight="1" s="15">
      <c r="A18" s="23" t="inlineStr">
        <is>
          <t>SC-HC-11-a</t>
        </is>
      </c>
      <c r="B18" s="23" t="inlineStr">
        <is>
          <t>HC-11-ae-triage-wait-times</t>
        </is>
      </c>
      <c r="C18" s="23" t="inlineStr">
        <is>
          <t>Healthcare</t>
        </is>
      </c>
      <c r="D18" s="23" t="inlineStr">
        <is>
          <t>At A&amp;E a nurse sees you briefly, then you wait in the main waiting area for hours with no update.</t>
        </is>
      </c>
      <c r="E18" s="23" t="inlineStr">
        <is>
          <t>What does the long wait most likely mean?</t>
        </is>
      </c>
      <c r="F18" s="23" t="inlineStr">
        <is>
          <t>You've been assessed as less urgent than others. It's fine to ask for a rough update.</t>
        </is>
      </c>
      <c r="G18" s="23" t="inlineStr">
        <is>
          <t>A long wait after triage usually means lower urgency compared with others, not that you were overlooked.</t>
        </is>
      </c>
      <c r="H18" s="23" t="inlineStr">
        <is>
          <t>That you've been forgotten.</t>
        </is>
      </c>
      <c r="I18" s="23" t="inlineStr">
        <is>
          <t>You've been assessed. Asking the desk for a rough update is acceptable.</t>
        </is>
      </c>
      <c r="J18" s="23" t="inlineStr">
        <is>
          <t>That something is seriously wrong and nobody is telling you.</t>
        </is>
      </c>
      <c r="K18" s="23" t="inlineStr">
        <is>
          <t>The opposite is more likely. More urgent cases are seen first.</t>
        </is>
      </c>
      <c r="L18" s="23" t="inlineStr">
        <is>
          <t>Approved</t>
        </is>
      </c>
      <c r="M18" s="23" t="inlineStr">
        <is>
          <t>Bulk-approved by founder; item review pending</t>
        </is>
      </c>
      <c r="N18" s="24" t="n"/>
      <c r="O18" s="23" t="n"/>
      <c r="P18" s="25">
        <f>MAX(LEN(G18),LEN(I18),LEN(K18))</f>
        <v/>
      </c>
      <c r="Q18" s="26" t="inlineStr">
        <is>
          <t>A long wait after initial triage typically confirms the case has been assessed as lower urgency relative to others being treated, not that it was overlooked.</t>
        </is>
      </c>
      <c r="R18" s="26" t="inlineStr">
        <is>
          <t>It's acceptable to ask the desk for a rough update after a long wait: "Just checking I'm still in the queue — any sense of how much longer?"</t>
        </is>
      </c>
    </row>
    <row r="19" ht="61.5" customHeight="1" s="15">
      <c r="A19" s="23" t="inlineStr">
        <is>
          <t>SC-HC-15-a</t>
        </is>
      </c>
      <c r="B19" s="23" t="inlineStr">
        <is>
          <t>HC-15-second-opinion-request-phrasing</t>
        </is>
      </c>
      <c r="C19" s="23" t="inlineStr">
        <is>
          <t>Healthcare</t>
        </is>
      </c>
      <c r="D19" s="23" t="inlineStr">
        <is>
          <t>You want a second opinion on a diagnosis, but it feels rude to say so to your GP.</t>
        </is>
      </c>
      <c r="E19" s="23" t="inlineStr">
        <is>
          <t>What do you say?</t>
        </is>
      </c>
      <c r="F19" s="23" t="inlineStr">
        <is>
          <t>“I'd like a second opinion. Could you point me toward how to arrange that?”</t>
        </is>
      </c>
      <c r="G19" s="23" t="inlineStr">
        <is>
          <t>A plain request is acceptable. Softening is a politeness habit, not a sign you shouldn't ask.</t>
        </is>
      </c>
      <c r="H19" s="23" t="inlineStr">
        <is>
          <t>“Is there anyone else I could possibly speak to?” and leave it there.</t>
        </is>
      </c>
      <c r="I19" s="23" t="inlineStr">
        <is>
          <t>The hedged version can go unnoticed. Say plainly that you want a second opinion.</t>
        </is>
      </c>
      <c r="J19" s="23" t="inlineStr">
        <is>
          <t>Wait a few weeks, then try again.</t>
        </is>
      </c>
      <c r="K19" s="23" t="inlineStr">
        <is>
          <t>Delay doesn't help. It's a normal, accepted request, so make it plainly now.</t>
        </is>
      </c>
      <c r="L19" s="23" t="inlineStr">
        <is>
          <t>Approved</t>
        </is>
      </c>
      <c r="M19" s="23" t="inlineStr">
        <is>
          <t>Bulk-approved by founder; item review pending</t>
        </is>
      </c>
      <c r="N19" s="24" t="n"/>
      <c r="O19" s="23" t="n"/>
      <c r="P19" s="25">
        <f>MAX(LEN(G19),LEN(I19),LEN(K19))</f>
        <v/>
      </c>
      <c r="Q19" s="26" t="inlineStr">
        <is>
          <t>This is a normal, accepted request even when phrased softly — the hedging is a politeness convention, not a sign the patient shouldn't ask.</t>
        </is>
      </c>
      <c r="R19" s="26" t="inlineStr">
        <is>
          <t>It's acceptable to state the request plainly: "I'd like to get a second opinion on this — could you point me toward how to arrange that?"</t>
        </is>
      </c>
    </row>
    <row r="20" ht="60" customHeight="1" s="15">
      <c r="A20" s="23" t="inlineStr">
        <is>
          <t>SC-HL-2-a</t>
        </is>
      </c>
      <c r="B20" s="23" t="inlineStr">
        <is>
          <t>HL-2-passive-aggressive-written-notice</t>
        </is>
      </c>
      <c r="C20" s="23" t="inlineStr">
        <is>
          <t>Housing &amp; landlord</t>
        </is>
      </c>
      <c r="D20" s="23" t="inlineStr">
        <is>
          <t>Your neighbour leaves a note: “Just a friendly reminder about bin day, hope you don't mind me asking.” It's the third note.</t>
        </is>
      </c>
      <c r="E20" s="23" t="inlineStr">
        <is>
          <t>How do you read it?</t>
        </is>
      </c>
      <c r="F20" s="23" t="inlineStr">
        <is>
          <t>As a firm complaint. Respond to the practical issue directly.</t>
        </is>
      </c>
      <c r="G20" s="23" t="inlineStr">
        <is>
          <t>The politeness is a buffer. The underlying message is a firm complaint, not a casual suggestion.</t>
        </is>
      </c>
      <c r="H20" s="23" t="inlineStr">
        <is>
          <t>As a casual suggestion you can leave for now.</t>
        </is>
      </c>
      <c r="I20" s="23" t="inlineStr">
        <is>
          <t>A repeated “friendly” note means the issue isn't casual.</t>
        </is>
      </c>
      <c r="J20" s="23" t="inlineStr">
        <is>
          <t>As a joke between neighbours.</t>
        </is>
      </c>
      <c r="K20" s="23" t="inlineStr">
        <is>
          <t>Nothing playful. The soft wording hides a real complaint, so deal with the practical issue.</t>
        </is>
      </c>
      <c r="L20" s="23" t="inlineStr">
        <is>
          <t>Approved</t>
        </is>
      </c>
      <c r="M20" s="23" t="inlineStr">
        <is>
          <t>Bulk-approved by founder; item review pending</t>
        </is>
      </c>
      <c r="N20" s="24" t="n"/>
      <c r="O20" s="23" t="n"/>
      <c r="P20" s="25">
        <f>MAX(LEN(G20),LEN(I20),LEN(K20))</f>
        <v/>
      </c>
      <c r="Q20" s="26" t="inlineStr">
        <is>
          <t>The politeness is a social buffer — the underlying message is a firm complaint, not a casual suggestion.</t>
        </is>
      </c>
      <c r="R20" s="26" t="inlineStr">
        <is>
          <t>Treat the specific ask as the real message regardless of the soft wording, and respond to the practical issue directly.</t>
        </is>
      </c>
    </row>
    <row r="21" ht="61.5" customHeight="1" s="15">
      <c r="A21" s="23" t="inlineStr">
        <is>
          <t>SC-HL-3-a</t>
        </is>
      </c>
      <c r="B21" s="23" t="inlineStr">
        <is>
          <t>HL-3-inventory-check-in-formality</t>
        </is>
      </c>
      <c r="C21" s="23" t="inlineStr">
        <is>
          <t>Housing &amp; landlord</t>
        </is>
      </c>
      <c r="D21" s="23" t="inlineStr">
        <is>
          <t>When you move in, the landlord hands you a long inventory listing every mark and scuff, and seems keen to have it signed quickly.</t>
        </is>
      </c>
      <c r="E21" s="23" t="inlineStr">
        <is>
          <t>What do you do?</t>
        </is>
      </c>
      <c r="F21" s="23" t="inlineStr">
        <is>
          <t>Check it thoroughly, and add notes and photos for anything inaccurate before signing.</t>
        </is>
      </c>
      <c r="G21" s="23" t="inlineStr">
        <is>
          <t>The inventory is your main protection against unfair deposit deductions later.</t>
        </is>
      </c>
      <c r="H21" s="23" t="inlineStr">
        <is>
          <t>Sign quickly to seem agreeable.</t>
        </is>
      </c>
      <c r="I21" s="23" t="inlineStr">
        <is>
          <t>Rushing is how people end up unable to dispute a deduction for a mark that was already there.</t>
        </is>
      </c>
      <c r="J21" s="23" t="inlineStr">
        <is>
          <t>Skip it, since a long list is excessive.</t>
        </is>
      </c>
      <c r="K21" s="23" t="inlineStr">
        <is>
          <t>It isn't excessive. Skipping a careful read works against your own interest.</t>
        </is>
      </c>
      <c r="L21" s="23" t="inlineStr">
        <is>
          <t>Approved</t>
        </is>
      </c>
      <c r="M21" s="23" t="inlineStr">
        <is>
          <t>Bulk-approved by founder; item review pending</t>
        </is>
      </c>
      <c r="N21" s="24" t="n"/>
      <c r="O21" s="23" t="n"/>
      <c r="P21" s="25">
        <f>MAX(LEN(G21),LEN(I21),LEN(K21))</f>
        <v/>
      </c>
      <c r="Q21" s="26" t="inlineStr">
        <is>
          <t>This document is the tenant's main protection against unfair deposit deductions later — treating it as excessive or skipping a careful read works against the tenant's own interest.</t>
        </is>
      </c>
      <c r="R21" s="26" t="inlineStr">
        <is>
          <t>Take time to check the inventory thoroughly and add notes/photos for anything inaccurate before signing, regardless of how quick the landlord seems to want it done.</t>
        </is>
      </c>
    </row>
    <row r="22" ht="61.5" customHeight="1" s="15">
      <c r="A22" s="23" t="inlineStr">
        <is>
          <t>SC-HL-6-a</t>
        </is>
      </c>
      <c r="B22" s="23" t="inlineStr">
        <is>
          <t>HL-6-shared-house-kitchen-etiquette-notes</t>
        </is>
      </c>
      <c r="C22" s="23" t="inlineStr">
        <is>
          <t>Housing &amp; landlord</t>
        </is>
      </c>
      <c r="D22" s="23" t="inlineStr">
        <is>
          <t>A note appears on the fridge: “Can everyone please remember to wash up their own dishes :)” You've left a few plates.</t>
        </is>
      </c>
      <c r="E22" s="23" t="inlineStr">
        <is>
          <t>How do you read the note?</t>
        </is>
      </c>
      <c r="F22" s="23" t="inlineStr">
        <is>
          <t>As the end of a build-up. Respond promptly, in person if you can.</t>
        </is>
      </c>
      <c r="G22" s="23" t="inlineStr">
        <is>
          <t>By the time a note appears, the issue has usually been building for a while.</t>
        </is>
      </c>
      <c r="H22" s="23" t="inlineStr">
        <is>
          <t>As a light, general reminder.</t>
        </is>
      </c>
      <c r="I22" s="23" t="inlineStr">
        <is>
          <t>The smiley is friendly, but it's rarely the first time it has bothered someone.</t>
        </is>
      </c>
      <c r="J22" s="23" t="inlineStr">
        <is>
          <t>As aimed at someone else, so ignore it.</t>
        </is>
      </c>
      <c r="K22" s="23" t="inlineStr">
        <is>
          <t>Notes like this rarely come from nowhere. A prompt, direct response beats hoping it's about someone else.</t>
        </is>
      </c>
      <c r="L22" s="23" t="inlineStr">
        <is>
          <t>Approved</t>
        </is>
      </c>
      <c r="M22" s="23" t="inlineStr">
        <is>
          <t>Bulk-approved by founder; item review pending</t>
        </is>
      </c>
      <c r="N22" s="24" t="n"/>
      <c r="O22" s="23" t="n"/>
      <c r="P22" s="25">
        <f>MAX(LEN(G22),LEN(I22),LEN(K22))</f>
        <v/>
      </c>
      <c r="Q22" s="26" t="inlineStr">
        <is>
          <t>By the time a note appears, the issue has likely been building for a while — it's rarely the first time it's bothered someone.</t>
        </is>
      </c>
      <c r="R22" s="26" t="inlineStr">
        <is>
          <t>Respond to a shared-space note promptly and directly, and consider a brief in-person acknowledgment: “Sorry, I'll sort that — let me know if it's been an ongoing issue.”</t>
        </is>
      </c>
    </row>
    <row r="23" ht="61.5" customHeight="1" s="15">
      <c r="A23" s="23" t="inlineStr">
        <is>
          <t>SC-HL-7-a</t>
        </is>
      </c>
      <c r="B23" s="23" t="inlineStr">
        <is>
          <t>HL-7-viewing-feedback-silence</t>
        </is>
      </c>
      <c r="C23" s="23" t="inlineStr">
        <is>
          <t>Housing &amp; landlord</t>
        </is>
      </c>
      <c r="D23" s="23" t="inlineStr">
        <is>
          <t>After a flat viewing the agent says, “We'll let you know.” Two weeks pass with no contact.</t>
        </is>
      </c>
      <c r="E23" s="23" t="inlineStr">
        <is>
          <t>What do you do?</t>
        </is>
      </c>
      <c r="F23" s="23" t="inlineStr">
        <is>
          <t>Treat it as a likely no, keep viewing other flats, and follow up once politely.</t>
        </is>
      </c>
      <c r="G23" s="23" t="inlineStr">
        <is>
          <t>Silence past the expected time functions as the rejection. An explicit “no” is uncommon.</t>
        </is>
      </c>
      <c r="H23" s="23" t="inlineStr">
        <is>
          <t>Keep waiting. They said they'd let you know.</t>
        </is>
      </c>
      <c r="I23" s="23" t="inlineStr">
        <is>
          <t>That's how people miss other options. Silence past the timeframe is usually the answer.</t>
        </is>
      </c>
      <c r="J23" s="23" t="inlineStr">
        <is>
          <t>Phone every day until you get a clear answer.</t>
        </is>
      </c>
      <c r="K23" s="23" t="inlineStr">
        <is>
          <t>One polite follow-up is enough. Meanwhile keep looking at other properties.</t>
        </is>
      </c>
      <c r="L23" s="23" t="inlineStr">
        <is>
          <t>Approved</t>
        </is>
      </c>
      <c r="M23" s="23" t="inlineStr">
        <is>
          <t>Bulk-approved by founder; item review pending</t>
        </is>
      </c>
      <c r="N23" s="24" t="n"/>
      <c r="O23" s="23" t="n"/>
      <c r="P23" s="25">
        <f>MAX(LEN(G23),LEN(I23),LEN(K23))</f>
        <v/>
      </c>
      <c r="Q23" s="26" t="inlineStr">
        <is>
          <t>Silence past the expected timeframe functions as the rejection in UK rental practice — an explicit “no” is uncommon.</t>
        </is>
      </c>
      <c r="R23" s="26" t="inlineStr">
        <is>
          <t>Treat silence past the stated timeframe as a likely no and keep actively viewing other properties in parallel, following up once politely for a final answer.</t>
        </is>
      </c>
    </row>
    <row r="24" ht="61.5" customHeight="1" s="15">
      <c r="A24" s="23" t="inlineStr">
        <is>
          <t>SC-HL-8-a</t>
        </is>
      </c>
      <c r="B24" s="23" t="inlineStr">
        <is>
          <t>HL-8-referencing-in-progress-delay</t>
        </is>
      </c>
      <c r="C24" s="23" t="inlineStr">
        <is>
          <t>Housing &amp; landlord</t>
        </is>
      </c>
      <c r="D24" s="23" t="inlineStr">
        <is>
          <t>You've applied for a flat. For over a week the agent keeps saying, “Referencing is still being processed, we'll update you as soon as we hear.”</t>
        </is>
      </c>
      <c r="E24" s="23" t="inlineStr">
        <is>
          <t>What do you do?</t>
        </is>
      </c>
      <c r="F24" s="23" t="inlineStr">
        <is>
          <t>Ask which reference is outstanding, and offer to help chase it.</t>
        </is>
      </c>
      <c r="G24" s="23" t="inlineStr">
        <is>
          <t>Referencing depends on outside providers replying, which is often the real bottleneck.</t>
        </is>
      </c>
      <c r="H24" s="23" t="inlineStr">
        <is>
          <t>Assume you've been rejected.</t>
        </is>
      </c>
      <c r="I24" s="23" t="inlineStr">
        <is>
          <t>A slow previous landlord or employer can hold things up without any rejection.</t>
        </is>
      </c>
      <c r="J24" s="23" t="inlineStr">
        <is>
          <t>Keep waiting without asking.</t>
        </is>
      </c>
      <c r="K24" s="23" t="inlineStr">
        <is>
          <t>A specific question gets further: which reference is outstanding, and can you help?</t>
        </is>
      </c>
      <c r="L24" s="23" t="inlineStr">
        <is>
          <t>Approved</t>
        </is>
      </c>
      <c r="M24" s="23" t="inlineStr">
        <is>
          <t>Bulk-approved by founder; item review pending</t>
        </is>
      </c>
      <c r="N24" s="24" t="n"/>
      <c r="O24" s="23" t="n"/>
      <c r="P24" s="25">
        <f>MAX(LEN(G24),LEN(I24),LEN(K24))</f>
        <v/>
      </c>
      <c r="Q24" s="26" t="inlineStr">
        <is>
          <t>Referencing depends on external providers (employers, previous landlords, credit agencies) responding, which is often the actual bottleneck, not agent inaction.</t>
        </is>
      </c>
      <c r="R24" s="26" t="inlineStr">
        <is>
          <t>Ask specifically which part of referencing is outstanding: "Is there a particular reference we're still waiting on that I could help chase?"</t>
        </is>
      </c>
    </row>
    <row r="25" ht="129" customHeight="1" s="15">
      <c r="A25" s="23" t="inlineStr">
        <is>
          <t>SC-HL-12-a</t>
        </is>
      </c>
      <c r="B25" s="23" t="inlineStr">
        <is>
          <t>HL-12-income-affordability-multiplier</t>
        </is>
      </c>
      <c r="C25" s="23" t="inlineStr">
        <is>
          <t>Housing &amp; landlord</t>
        </is>
      </c>
      <c r="D25" s="23" t="inlineStr">
        <is>
          <t>A letting agent says your income must be at least a set multiple of the rent. Yours is just below, but you have strong savings.</t>
        </is>
      </c>
      <c r="E25" s="23" t="inlineStr">
        <is>
          <t>What do you do?</t>
        </is>
      </c>
      <c r="F25" s="23" t="inlineStr">
        <is>
          <t>Ask whether savings or a larger upfront payment could be offered instead.</t>
        </is>
      </c>
      <c r="G25" s="23" t="inlineStr">
        <is>
          <t>The multiplier is a standard formula, not a judgement of you. Alternatives are worth asking about.</t>
        </is>
      </c>
      <c r="H25" s="23" t="inlineStr">
        <is>
          <t>Take it as a rejection and stop pursuing this flat.</t>
        </is>
      </c>
      <c r="I25" s="23" t="inlineStr">
        <is>
          <t>It's a uniform formula, not a verdict on you. Asking about alternatives costs nothing.</t>
        </is>
      </c>
      <c r="J25" s="23" t="inlineStr">
        <is>
          <t>Argue that the rule is unfair.</t>
        </is>
      </c>
      <c r="K25" s="23" t="inlineStr">
        <is>
          <t>The formula is applied to everyone. Offering a concrete alternative is the better route.</t>
        </is>
      </c>
      <c r="L25" s="23" t="inlineStr">
        <is>
          <t>Approved</t>
        </is>
      </c>
      <c r="M25" s="23" t="inlineStr">
        <is>
          <t>Bulk-approved by founder; item review pending</t>
        </is>
      </c>
      <c r="N25" s="24" t="n"/>
      <c r="O25" s="23" t="n"/>
      <c r="P25" s="25">
        <f>MAX(LEN(G25),LEN(I25),LEN(K25))</f>
        <v/>
      </c>
      <c r="Q25" s="26" t="inlineStr">
        <is>
          <t>This is a standardized formula applied uniformly, not a judgment about this specific applicant's overall financial reliability — and since the Renters' Rights Act 2025, it's now unlawful for a landlord or agent to refuse an otherwise-qualifying applicant, or make renting harder for them, because they receive benefits or have children (councils can fine up to £7,000 for breaching this).</t>
        </is>
      </c>
      <c r="R25" s="26" t="inlineStr">
        <is>
          <t>If income is close to the threshold, ask directly whether savings or a larger upfront payment can be offered as an alternative to meeting the multiplier exactly.</t>
        </is>
      </c>
    </row>
    <row r="26" ht="61.5" customHeight="1" s="15">
      <c r="A26" s="23" t="inlineStr">
        <is>
          <t>SC-HL-14-a</t>
        </is>
      </c>
      <c r="B26" s="23" t="inlineStr">
        <is>
          <t>HL-14-permitted-occupiers-clause</t>
        </is>
      </c>
      <c r="C26" s="23" t="inlineStr">
        <is>
          <t>Housing &amp; landlord</t>
        </is>
      </c>
      <c r="D26" s="23" t="inlineStr">
        <is>
          <t>Your partner has been staying with you for a few months. The tenancy lists named occupiers only. The landlord seemed relaxed when you mentioned it casually.</t>
        </is>
      </c>
      <c r="E26" s="23" t="inlineStr">
        <is>
          <t>What do you do?</t>
        </is>
      </c>
      <c r="F26" s="23" t="inlineStr">
        <is>
          <t>Ask for a written update to the agreement.</t>
        </is>
      </c>
      <c r="G26" s="23" t="inlineStr">
        <is>
          <t>A relaxed landlord doesn't override the written clause. A long-term guest needs formal agreement.</t>
        </is>
      </c>
      <c r="H26" s="23" t="inlineStr">
        <is>
          <t>Rely on the landlord's friendly reaction.</t>
        </is>
      </c>
      <c r="I26" s="23" t="inlineStr">
        <is>
          <t>A casual OK isn't a written change, and a long stay can still breach the clause.</t>
        </is>
      </c>
      <c r="J26" s="23" t="inlineStr">
        <is>
          <t>Say nothing, since nobody has complained.</t>
        </is>
      </c>
      <c r="K26" s="23" t="inlineStr">
        <is>
          <t>Silence leaves the clause breached. Beyond a couple of weeks, ask for it in writing.</t>
        </is>
      </c>
      <c r="L26" s="23" t="inlineStr">
        <is>
          <t>Approved</t>
        </is>
      </c>
      <c r="M26" s="23" t="inlineStr">
        <is>
          <t>Bulk-approved by founder; item review pending</t>
        </is>
      </c>
      <c r="N26" s="24" t="n"/>
      <c r="O26" s="23" t="n"/>
      <c r="P26" s="25">
        <f>MAX(LEN(G26),LEN(I26),LEN(K26))</f>
        <v/>
      </c>
      <c r="Q26" s="26" t="inlineStr">
        <is>
          <t>A landlord being personally relaxed in conversation doesn't override the written clause — a guest staying long-term can still be a genuine breach if not addressed formally.</t>
        </is>
      </c>
      <c r="R26" s="26" t="inlineStr">
        <is>
          <t>For any guest staying beyond a couple of weeks, request a written update to the agreement rather than relying on a verbal heads-up.</t>
        </is>
      </c>
    </row>
    <row r="27" ht="102" customHeight="1" s="15">
      <c r="A27" s="23" t="inlineStr">
        <is>
          <t>SC-HL-15-a</t>
        </is>
      </c>
      <c r="B27" s="23" t="inlineStr">
        <is>
          <t>HL-15-break-clause-deferral</t>
        </is>
      </c>
      <c r="C27" s="23" t="inlineStr">
        <is>
          <t>Housing &amp; landlord</t>
        </is>
      </c>
      <c r="D27" s="23" t="inlineStr">
        <is>
          <t>You ask your landlord to let you leave a few months early. He says, “Let me check with the agency and get back to you.” Nothing follows.</t>
        </is>
      </c>
      <c r="E27" s="23" t="inlineStr">
        <is>
          <t>What do you do?</t>
        </is>
      </c>
      <c r="F27" s="23" t="inlineStr">
        <is>
          <t>Ask for an answer by a specific date, since you need to plan.</t>
        </is>
      </c>
      <c r="G27" s="23" t="inlineStr">
        <is>
          <t>It may be a genuine step, but it can also buy time. A deadline moves things forward.</t>
        </is>
      </c>
      <c r="H27" s="23" t="inlineStr">
        <is>
          <t>Wait for them to come back to you.</t>
        </is>
      </c>
      <c r="I27" s="23" t="inlineStr">
        <is>
          <t>Waiting leaves it open-ended. A date makes a reply, or a refusal, harder to avoid.</t>
        </is>
      </c>
      <c r="J27" s="23" t="inlineStr">
        <is>
          <t>Take the silence as permission to leave.</t>
        </is>
      </c>
      <c r="K27" s="23" t="inlineStr">
        <is>
          <t>Silence isn't agreement. Ask for a clear answer by a date you name.</t>
        </is>
      </c>
      <c r="L27" s="23" t="inlineStr">
        <is>
          <t>Approved</t>
        </is>
      </c>
      <c r="M27" s="23" t="inlineStr">
        <is>
          <t>Bulk-approved by founder; item review pending</t>
        </is>
      </c>
      <c r="N27" s="24" t="n"/>
      <c r="O27" s="23" t="n"/>
      <c r="P27" s="25">
        <f>MAX(LEN(G27),LEN(I27),LEN(K27))</f>
        <v/>
      </c>
      <c r="Q27" s="26" t="inlineStr">
        <is>
          <t>This may be a genuine process step, but it can also be a way of buying time or softening a refusal. Since May 2026, most tenancies are periodic from the start, and a tenant can generally end one by giving at least two months' written notice, without needing a landlord's agreement at all.</t>
        </is>
      </c>
      <c r="R27" s="26" t="inlineStr">
        <is>
          <t>Set a specific follow-up date when asking: "Could you let me know by [date] either way, since I need to plan my next steps?"</t>
        </is>
      </c>
    </row>
    <row r="28" ht="61.5" customHeight="1" s="15">
      <c r="A28" s="23" t="inlineStr">
        <is>
          <t>SC-HL-16-a</t>
        </is>
      </c>
      <c r="B28" s="23" t="inlineStr">
        <is>
          <t>HL-16-end-of-tenancy-cleaning-checklist</t>
        </is>
      </c>
      <c r="C28" s="23" t="inlineStr">
        <is>
          <t>Housing &amp; landlord</t>
        </is>
      </c>
      <c r="D28" s="23" t="inlineStr">
        <is>
          <t>Before moving out you clean the whole flat thoroughly yourself. The inventory mentions a “professional clean” standard.</t>
        </is>
      </c>
      <c r="E28" s="23" t="inlineStr">
        <is>
          <t>What do you do?</t>
        </is>
      </c>
      <c r="F28" s="23" t="inlineStr">
        <is>
          <t>Check the exact cleaning clause, and book a professional clean with a receipt if it asks for one.</t>
        </is>
      </c>
      <c r="G28" s="23" t="inlineStr">
        <is>
          <t>Your own cleaning may not meet the contract's standard, however clean the flat looks.</t>
        </is>
      </c>
      <c r="H28" s="23" t="inlineStr">
        <is>
          <t>Rely on your own deep clean.</t>
        </is>
      </c>
      <c r="I28" s="23" t="inlineStr">
        <is>
          <t>Without the professional service and receipt, the cleaning standard may still not be met.</t>
        </is>
      </c>
      <c r="J28" s="23" t="inlineStr">
        <is>
          <t>Ask the landlord to judge it by eye.</t>
        </is>
      </c>
      <c r="K28" s="23" t="inlineStr">
        <is>
          <t>The contract sets the standard, not how the flat looks. Check the exact clause first.</t>
        </is>
      </c>
      <c r="L28" s="23" t="inlineStr">
        <is>
          <t>Approved</t>
        </is>
      </c>
      <c r="M28" s="23" t="inlineStr">
        <is>
          <t>Bulk-approved by founder; item review pending</t>
        </is>
      </c>
      <c r="N28" s="27" t="inlineStr">
        <is>
          <t>Yes</t>
        </is>
      </c>
      <c r="O28" s="23" t="n"/>
      <c r="P28" s="25">
        <f>MAX(LEN(G28),LEN(I28),LEN(K28))</f>
        <v/>
      </c>
      <c r="Q28" s="26" t="inlineStr">
        <is>
          <t>A tenant's own thorough cleaning may not meet the specific contractual standard unless a professional service and receipt are provided, regardless of how clean the property looks.</t>
        </is>
      </c>
      <c r="R28" s="26" t="inlineStr">
        <is>
          <t>Check the tenancy agreement's exact cleaning clause before moving out, and book a professional clean with a receipt if that's what's specified.</t>
        </is>
      </c>
    </row>
    <row r="29" ht="60" customHeight="1" s="15">
      <c r="A29" s="23" t="inlineStr">
        <is>
          <t>SC-JS-2-a</t>
        </is>
      </c>
      <c r="B29" s="23" t="inlineStr">
        <is>
          <t>JS-2-salary-negotiation-indirectness</t>
        </is>
      </c>
      <c r="C29" s="23" t="inlineStr">
        <is>
          <t>Job search</t>
        </is>
      </c>
      <c r="D29" s="23" t="inlineStr">
        <is>
          <t>In a first interview they ask, “What's your expected salary range?” before mentioning any number.</t>
        </is>
      </c>
      <c r="E29" s="23" t="inlineStr">
        <is>
          <t>What do you do?</t>
        </is>
      </c>
      <c r="F29" s="23" t="inlineStr">
        <is>
          <t>Give a confident, well-researched range.</t>
        </is>
      </c>
      <c r="G29" s="23" t="inlineStr">
        <is>
          <t>It's a negotiation norm. Stating a researched range is expected, not pushy.</t>
        </is>
      </c>
      <c r="H29" s="23" t="inlineStr">
        <is>
          <t>Say “I'm flexible, whatever you think is fair.”</t>
        </is>
      </c>
      <c r="I29" s="23" t="inlineStr">
        <is>
          <t>A vague answer leaves you without a position and can read as unprepared.</t>
        </is>
      </c>
      <c r="J29" s="23" t="inlineStr">
        <is>
          <t>Say you'd rather not talk about money yet.</t>
        </is>
      </c>
      <c r="K29" s="23" t="inlineStr">
        <is>
          <t>It's a routine question here. Deflecting it reads as unprepared.</t>
        </is>
      </c>
      <c r="L29" s="23" t="inlineStr">
        <is>
          <t>Approved</t>
        </is>
      </c>
      <c r="M29" s="23" t="inlineStr">
        <is>
          <t>Bulk-approved by founder; item review pending</t>
        </is>
      </c>
      <c r="N29" s="24" t="n"/>
      <c r="O29" s="23" t="n"/>
      <c r="P29" s="25">
        <f>MAX(LEN(G29),LEN(I29),LEN(K29))</f>
        <v/>
      </c>
      <c r="Q29" s="26" t="inlineStr">
        <is>
          <t>This is a negotiation norm, not evasiveness — giving a well-researched range in response is expected and normal, not pushy.</t>
        </is>
      </c>
      <c r="R29" s="26" t="inlineStr">
        <is>
          <t>Research the market range beforehand and state a confident range when asked, rather than deflecting the question.</t>
        </is>
      </c>
    </row>
    <row r="30" ht="75" customHeight="1" s="15">
      <c r="A30" s="23" t="inlineStr">
        <is>
          <t>SC-JS-3-a</t>
        </is>
      </c>
      <c r="B30" s="23" t="inlineStr">
        <is>
          <t>JS-3-cv-personal-statement-understatement</t>
        </is>
      </c>
      <c r="C30" s="23" t="inlineStr">
        <is>
          <t>Job search</t>
        </is>
      </c>
      <c r="D30" s="23" t="inlineStr">
        <is>
          <t>Your CV is full of words like “exceptional” and “outstanding”. UK recruiters give polite but cool feedback.</t>
        </is>
      </c>
      <c r="E30" s="23" t="inlineStr">
        <is>
          <t>What do you change?</t>
        </is>
      </c>
      <c r="F30" s="23" t="inlineStr">
        <is>
          <t>Lead with specific, factual results: numbers and concrete outcomes.</t>
        </is>
      </c>
      <c r="G30" s="23" t="inlineStr">
        <is>
          <t>Understated, evidence-led writing reads as credible. Heavy self-promotion can read as less so.</t>
        </is>
      </c>
      <c r="H30" s="23" t="inlineStr">
        <is>
          <t>Make the claims even stronger to stand out.</t>
        </is>
      </c>
      <c r="I30" s="23" t="inlineStr">
        <is>
          <t>In some UK sectors, extreme self-promotion can read as less credible.</t>
        </is>
      </c>
      <c r="J30" s="23" t="inlineStr">
        <is>
          <t>Remove your achievements to look modest.</t>
        </is>
      </c>
      <c r="K30" s="23" t="inlineStr">
        <is>
          <t>Modesty doesn't mean hiding results. Let the numbers carry the weight, not the adjectives.</t>
        </is>
      </c>
      <c r="L30" s="23" t="inlineStr">
        <is>
          <t>Approved</t>
        </is>
      </c>
      <c r="M30" s="23" t="inlineStr">
        <is>
          <t>Bulk-approved by founder; item review pending</t>
        </is>
      </c>
      <c r="N30" s="24" t="n"/>
      <c r="O30" s="23" t="n"/>
      <c r="P30" s="25">
        <f>MAX(LEN(G30),LEN(I30),LEN(K30))</f>
        <v/>
      </c>
      <c r="Q30" s="26" t="inlineStr">
        <is>
          <t>Understated language is not a lack of confidence in this context — being extremely self-promotional can actually read as less credible in some UK sectors, particularly traditional or public-sector ones.</t>
        </is>
      </c>
      <c r="R30" s="26" t="inlineStr">
        <is>
          <t>Lead with specific, factual outcomes (numbers, concrete results) rather than superlative language — let the evidence carry the weight instead of the adjectives.</t>
        </is>
      </c>
    </row>
    <row r="31" ht="61.5" customHeight="1" s="15">
      <c r="A31" s="23" t="inlineStr">
        <is>
          <t>SC-JS-4-a</t>
        </is>
      </c>
      <c r="B31" s="23" t="inlineStr">
        <is>
          <t>JS-4-recruiter-warm-language-non-commitment</t>
        </is>
      </c>
      <c r="C31" s="23" t="inlineStr">
        <is>
          <t>Job search</t>
        </is>
      </c>
      <c r="D31" s="23" t="inlineStr">
        <is>
          <t>A recruiter tells you, “You're a really strong candidate, the client loved you.” No next step or date is mentioned.</t>
        </is>
      </c>
      <c r="E31" s="23" t="inlineStr">
        <is>
          <t>How do you read it?</t>
        </is>
      </c>
      <c r="F31" s="23" t="inlineStr">
        <is>
          <t>As friendly encouragement. Ask for the next formal step and when you'll hear.</t>
        </is>
      </c>
      <c r="G31" s="23" t="inlineStr">
        <is>
          <t>It's standard relationship-management language, not a reliable signal of where you stand.</t>
        </is>
      </c>
      <c r="H31" s="23" t="inlineStr">
        <is>
          <t>As a near-certain offer.</t>
        </is>
      </c>
      <c r="I31" s="23" t="inlineStr">
        <is>
          <t>Warmth isn't commitment. Many candidates hear this and don't get an offer.</t>
        </is>
      </c>
      <c r="J31" s="23" t="inlineStr">
        <is>
          <t>As a lie to ignore.</t>
        </is>
      </c>
      <c r="K31" s="23" t="inlineStr">
        <is>
          <t>It isn't a lie, just routine warmth. Ask what the next formal step is and by when.</t>
        </is>
      </c>
      <c r="L31" s="23" t="inlineStr">
        <is>
          <t>Approved</t>
        </is>
      </c>
      <c r="M31" s="23" t="inlineStr">
        <is>
          <t>Bulk-approved by founder; item review pending</t>
        </is>
      </c>
      <c r="N31" s="24" t="n"/>
      <c r="O31" s="23" t="n"/>
      <c r="P31" s="25">
        <f>MAX(LEN(G31),LEN(I31),LEN(K31))</f>
        <v/>
      </c>
      <c r="Q31" s="26" t="inlineStr">
        <is>
          <t>This is standard relationship-management language recruiters use with most candidates to keep them engaged, not a reliable signal of where you stand.</t>
        </is>
      </c>
      <c r="R31" s="26" t="inlineStr">
        <is>
          <t>Ask directly for concrete next steps and timelines rather than reading warmth as commitment: “What's the next formal step, and by when should I expect to hear?”</t>
        </is>
      </c>
    </row>
    <row r="32" ht="61.5" customHeight="1" s="15">
      <c r="A32" s="23" t="inlineStr">
        <is>
          <t>SC-JS-5-a</t>
        </is>
      </c>
      <c r="B32" s="23" t="inlineStr">
        <is>
          <t>JS-5-competency-question-structure-expectation</t>
        </is>
      </c>
      <c r="C32" s="23" t="inlineStr">
        <is>
          <t>Job search</t>
        </is>
      </c>
      <c r="D32" s="23" t="inlineStr">
        <is>
          <t>In an interview you're asked, “Tell me about a time you had to deal with a difficult colleague.” The interviewer waits.</t>
        </is>
      </c>
      <c r="E32" s="23" t="inlineStr">
        <is>
          <t>How do you answer?</t>
        </is>
      </c>
      <c r="F32" s="23" t="inlineStr">
        <is>
          <t>Give a specific example: the situation, your task, what you did and the result.</t>
        </is>
      </c>
      <c r="G32" s="23" t="inlineStr">
        <is>
          <t>A structured, specific past example is what's being assessed.</t>
        </is>
      </c>
      <c r="H32" s="23" t="inlineStr">
        <is>
          <t>Explain your general approach: “I always try to communicate well.”</t>
        </is>
      </c>
      <c r="I32" s="23" t="inlineStr">
        <is>
          <t>A general philosophy reads as unprepared.</t>
        </is>
      </c>
      <c r="J32" s="23" t="inlineStr">
        <is>
          <t>Say you've never had a difficult colleague.</t>
        </is>
      </c>
      <c r="K32" s="23" t="inlineStr">
        <is>
          <t>That doesn't answer the question. Prepare real examples in advance.</t>
        </is>
      </c>
      <c r="L32" s="23" t="inlineStr">
        <is>
          <t>Approved</t>
        </is>
      </c>
      <c r="M32" s="23" t="inlineStr">
        <is>
          <t>Bulk-approved by founder; item review pending</t>
        </is>
      </c>
      <c r="N32" s="24" t="n"/>
      <c r="O32" s="23" t="n"/>
      <c r="P32" s="25">
        <f>MAX(LEN(G32),LEN(I32),LEN(K32))</f>
        <v/>
      </c>
      <c r="Q32" s="26" t="inlineStr">
        <is>
          <t>A vague or general answer (“I always try to communicate well”) reads as unprepared — a specific, structured past example is what's actually being assessed.</t>
        </is>
      </c>
      <c r="R32" s="26" t="inlineStr">
        <is>
          <t>Prepare 4-5 specific past examples in advance, structured as situation → task → action → result, ready to adapt to different competency questions.</t>
        </is>
      </c>
    </row>
    <row r="33" ht="61.5" customHeight="1" s="15">
      <c r="A33" s="23" t="inlineStr">
        <is>
          <t>SC-JS-6-a</t>
        </is>
      </c>
      <c r="B33" s="23" t="inlineStr">
        <is>
          <t>JS-6-notice-period-negotiation-norm</t>
        </is>
      </c>
      <c r="C33" s="23" t="inlineStr">
        <is>
          <t>Job search</t>
        </is>
      </c>
      <c r="D33" s="23" t="inlineStr">
        <is>
          <t>In an interview they ask, “When could you start?” You have a month's notice at your current job.</t>
        </is>
      </c>
      <c r="E33" s="23" t="inlineStr">
        <is>
          <t>What do you say?</t>
        </is>
      </c>
      <c r="F33" s="23" t="inlineStr">
        <is>
          <t>State your real notice period, and add that you're keen to start as soon as it allows.</t>
        </is>
      </c>
      <c r="G33" s="23" t="inlineStr">
        <is>
          <t>Employers plan around standard notice periods. Honesty here is the norm, not a risk.</t>
        </is>
      </c>
      <c r="H33" s="23" t="inlineStr">
        <is>
          <t>Say you can start immediately, to seem keen.</t>
        </is>
      </c>
      <c r="I33" s="23" t="inlineStr">
        <is>
          <t>A shorter-than-normal answer isn't needed to show keenness.</t>
        </is>
      </c>
      <c r="J33" s="23" t="inlineStr">
        <is>
          <t>Avoid answering until you have an offer.</t>
        </is>
      </c>
      <c r="K33" s="23" t="inlineStr">
        <is>
          <t>It's a routine question. A plain answer with some enthusiasm works better.</t>
        </is>
      </c>
      <c r="L33" s="23" t="inlineStr">
        <is>
          <t>Approved</t>
        </is>
      </c>
      <c r="M33" s="23" t="inlineStr">
        <is>
          <t>Bulk-approved by founder; item review pending</t>
        </is>
      </c>
      <c r="N33" s="24" t="n"/>
      <c r="O33" s="23" t="n"/>
      <c r="P33" s="25">
        <f>MAX(LEN(G33),LEN(I33),LEN(K33))</f>
        <v/>
      </c>
      <c r="Q33" s="26" t="inlineStr">
        <is>
          <t>Employers expect and plan around a standard notice period; a shorter-than-normal answer isn't required to demonstrate keenness, and honesty here is the norm, not a risk.</t>
        </is>
      </c>
      <c r="R33" s="26" t="inlineStr">
        <is>
          <t>State the real notice period plainly and, if genuinely relevant, add a brief note of enthusiasm: “My notice period is one month, but I'm very keen to start as soon as that allows.”</t>
        </is>
      </c>
    </row>
    <row r="34" ht="75" customHeight="1" s="15">
      <c r="A34" s="23" t="inlineStr">
        <is>
          <t>SC-JS-7-a</t>
        </is>
      </c>
      <c r="B34" s="23" t="inlineStr">
        <is>
          <t>JS-7-networking-coffee-informality</t>
        </is>
      </c>
      <c r="C34" s="23" t="inlineStr">
        <is>
          <t>Job search</t>
        </is>
      </c>
      <c r="D34" s="23" t="inlineStr">
        <is>
          <t>A senior contact in your field says, “Would you fancy a coffee sometime to chat about the sector?”</t>
        </is>
      </c>
      <c r="E34" s="23" t="inlineStr">
        <is>
          <t>How do you treat it?</t>
        </is>
      </c>
      <c r="F34" s="23" t="inlineStr">
        <is>
          <t>As a real opportunity. Prepare a few relevant points or questions.</t>
        </is>
      </c>
      <c r="G34" s="23" t="inlineStr">
        <is>
          <t>It's a standard, taken-seriously way to build a professional relationship.</t>
        </is>
      </c>
      <c r="H34" s="23" t="inlineStr">
        <is>
          <t>As purely social, so go without preparing.</t>
        </is>
      </c>
      <c r="I34" s="23" t="inlineStr">
        <is>
          <t>It's informal in tone but not in purpose. Prepare as you would for a formal meeting.</t>
        </is>
      </c>
      <c r="J34" s="23" t="inlineStr">
        <is>
          <t>As vague politeness that probably won't happen.</t>
        </is>
      </c>
      <c r="K34" s="23" t="inlineStr">
        <is>
          <t>It's a genuine invitation. Treat it as a real conversation.</t>
        </is>
      </c>
      <c r="L34" s="23" t="inlineStr">
        <is>
          <t>Approved</t>
        </is>
      </c>
      <c r="M34" s="23" t="inlineStr">
        <is>
          <t>Bulk-approved by founder; item review pending</t>
        </is>
      </c>
      <c r="N34" s="24" t="n"/>
      <c r="O34" s="23" t="n"/>
      <c r="P34" s="25">
        <f>MAX(LEN(G34),LEN(I34),LEN(K34))</f>
        <v/>
      </c>
      <c r="Q34" s="26" t="inlineStr">
        <is>
          <t>This is a standard, taken-seriously way to build a professional relationship or explore an opportunity informally — showing up prepared and treating it as a real conversation is expected, not just small talk.</t>
        </is>
      </c>
      <c r="R34" s="26" t="inlineStr">
        <is>
          <t>Treat an informal coffee/chat invitation from a professional contact as a real opportunity — prepare a few relevant points or questions, same as for a formal meeting.</t>
        </is>
      </c>
    </row>
    <row r="35" ht="61.5" customHeight="1" s="15">
      <c r="A35" s="23" t="inlineStr">
        <is>
          <t>SC-JS-8-a</t>
        </is>
      </c>
      <c r="B35" s="23" t="inlineStr">
        <is>
          <t>JS-8-keep-cv-on-file-soft-rejection</t>
        </is>
      </c>
      <c r="C35" s="23" t="inlineStr">
        <is>
          <t>Job search</t>
        </is>
      </c>
      <c r="D35" s="23" t="inlineStr">
        <is>
          <t>After an unsuccessful interview the email ends: “We'll keep your CV on file for future opportunities.”</t>
        </is>
      </c>
      <c r="E35" s="23" t="inlineStr">
        <is>
          <t>What does that mean?</t>
        </is>
      </c>
      <c r="F35" s="23" t="inlineStr">
        <is>
          <t>The process has ended. If you're interested later, follow up in a few months.</t>
        </is>
      </c>
      <c r="G35" s="23" t="inlineStr">
        <is>
          <t>It's a polite way to close without an explicit “no”, not a commitment to revisit you.</t>
        </is>
      </c>
      <c r="H35" s="23" t="inlineStr">
        <is>
          <t>That they'll contact you when a role comes up.</t>
        </is>
      </c>
      <c r="I35" s="23" t="inlineStr">
        <is>
          <t>Don't wait to be contacted. The phrase usually ends that process.</t>
        </is>
      </c>
      <c r="J35" s="23" t="inlineStr">
        <is>
          <t>That the decision is still open.</t>
        </is>
      </c>
      <c r="K35" s="23" t="inlineStr">
        <is>
          <t>It isn't. Treat this process as over, and follow up yourself if you want future roles.</t>
        </is>
      </c>
      <c r="L35" s="23" t="inlineStr">
        <is>
          <t>Approved</t>
        </is>
      </c>
      <c r="M35" s="23" t="inlineStr">
        <is>
          <t>Bulk-approved by founder; item review pending</t>
        </is>
      </c>
      <c r="N35" s="24" t="n"/>
      <c r="O35" s="23" t="n"/>
      <c r="P35" s="25">
        <f>MAX(LEN(G35),LEN(I35),LEN(K35))</f>
        <v/>
      </c>
      <c r="Q35" s="26" t="inlineStr">
        <is>
          <t>This phrase functions as a polite way to end the conversation without an explicit "no," rather than a genuine commitment to revisit the application later.</t>
        </is>
      </c>
      <c r="R35" s="26" t="inlineStr">
        <is>
          <t>Treat this phrase as the end of that specific process, and if genuinely interested in future roles, proactively follow up in a few months rather than waiting to be contacted.</t>
        </is>
      </c>
    </row>
    <row r="36" ht="61.5" customHeight="1" s="15">
      <c r="A36" s="23" t="inlineStr">
        <is>
          <t>SC-JS-12-a</t>
        </is>
      </c>
      <c r="B36" s="23" t="inlineStr">
        <is>
          <t>JS-12-finalizing-internally-offer-delay</t>
        </is>
      </c>
      <c r="C36" s="23" t="inlineStr">
        <is>
          <t>Job search</t>
        </is>
      </c>
      <c r="D36" s="23" t="inlineStr">
        <is>
          <t>After a verbal job offer, the employer says, “We're just waiting on some internal sign-off.” No date is given.</t>
        </is>
      </c>
      <c r="E36" s="23" t="inlineStr">
        <is>
          <t>What do you do?</t>
        </is>
      </c>
      <c r="F36" s="23" t="inlineStr">
        <is>
          <t>Ask roughly when to expect the formal offer.</t>
        </is>
      </c>
      <c r="G36" s="23" t="inlineStr">
        <is>
          <t>Such delays are usually administrative, not a sign the decision is still undecided.</t>
        </is>
      </c>
      <c r="H36" s="23" t="inlineStr">
        <is>
          <t>Assume the offer is being withdrawn.</t>
        </is>
      </c>
      <c r="I36" s="23" t="inlineStr">
        <is>
          <t>It's most often approvals and paperwork. Anxious guessing doesn't help.</t>
        </is>
      </c>
      <c r="J36" s="23" t="inlineStr">
        <is>
          <t>Wait quietly and say nothing.</t>
        </is>
      </c>
      <c r="K36" s="23" t="inlineStr">
        <is>
          <t>Asking for a timeframe is fine, and it gets you something concrete.</t>
        </is>
      </c>
      <c r="L36" s="23" t="inlineStr">
        <is>
          <t>Approved</t>
        </is>
      </c>
      <c r="M36" s="23" t="inlineStr">
        <is>
          <t>Bulk-approved by founder; item review pending</t>
        </is>
      </c>
      <c r="N36" s="24" t="n"/>
      <c r="O36" s="23" t="n"/>
      <c r="P36" s="25">
        <f>MAX(LEN(G36),LEN(I36),LEN(K36))</f>
        <v/>
      </c>
      <c r="Q36" s="26" t="inlineStr">
        <is>
          <t>This delay is most often administrative (approvals, paperwork) rather than a sign the decision itself is still genuinely undecided.</t>
        </is>
      </c>
      <c r="R36" s="26" t="inlineStr">
        <is>
          <t>Ask for a specific timeframe rather than waiting anxiously: "That's great to hear — roughly when should I expect the formal offer through?"</t>
        </is>
      </c>
    </row>
    <row r="37" ht="61.5" customHeight="1" s="15">
      <c r="A37" s="23" t="inlineStr">
        <is>
          <t>SC-JS-15-a</t>
        </is>
      </c>
      <c r="B37" s="23" t="inlineStr">
        <is>
          <t>JS-15-meet-the-team-informal-framing</t>
        </is>
      </c>
      <c r="C37" s="23" t="inlineStr">
        <is>
          <t>Job search</t>
        </is>
      </c>
      <c r="D37" s="23" t="inlineStr">
        <is>
          <t>Before a final stage you're told, “It's just an informal chat to meet the team, no pressure.”</t>
        </is>
      </c>
      <c r="E37" s="23" t="inlineStr">
        <is>
          <t>How do you approach it?</t>
        </is>
      </c>
      <c r="F37" s="23" t="inlineStr">
        <is>
          <t>Prepare as for a formal interview, with questions and examples ready.</t>
        </is>
      </c>
      <c r="G37" s="23" t="inlineStr">
        <is>
          <t>Team members are usually asked for feedback afterwards, so the chat is genuinely assessed.</t>
        </is>
      </c>
      <c r="H37" s="23" t="inlineStr">
        <is>
          <t>Relax completely and go without preparing.</t>
        </is>
      </c>
      <c r="I37" s="23" t="inlineStr">
        <is>
          <t>The casual framing is real, but the feedback it produces counts.</t>
        </is>
      </c>
      <c r="J37" s="23" t="inlineStr">
        <is>
          <t>Treat it as a pure social event and avoid talking about work.</t>
        </is>
      </c>
      <c r="K37" s="23" t="inlineStr">
        <is>
          <t>It's assessed even if it doesn't feel like an interview, so have questions and examples ready.</t>
        </is>
      </c>
      <c r="L37" s="23" t="inlineStr">
        <is>
          <t>Approved</t>
        </is>
      </c>
      <c r="M37" s="23" t="inlineStr">
        <is>
          <t>Bulk-approved by founder; item review pending</t>
        </is>
      </c>
      <c r="N37" s="27" t="inlineStr">
        <is>
          <t>Yes</t>
        </is>
      </c>
      <c r="O37" s="23" t="n"/>
      <c r="P37" s="25">
        <f>MAX(LEN(G37),LEN(I37),LEN(K37))</f>
        <v/>
      </c>
      <c r="Q37" s="26" t="inlineStr">
        <is>
          <t>Team members are typically asked for feedback afterward regardless of the casual framing, so the conversation is genuinely assessed even if it doesn't feel like a formal interview.</t>
        </is>
      </c>
      <c r="R37" s="26" t="inlineStr">
        <is>
          <t>Prepare for an "informal" meeting stage with the same care as a formal interview — have a few questions and examples ready, even if the tone in the room is relaxed.</t>
        </is>
      </c>
    </row>
    <row r="38" ht="61.5" customHeight="1" s="15">
      <c r="A38" s="23" t="inlineStr">
        <is>
          <t>SC-SO-3-a</t>
        </is>
      </c>
      <c r="B38" s="23" t="inlineStr">
        <is>
          <t>SO-3-queueing-norm-enforcement</t>
        </is>
      </c>
      <c r="C38" s="23" t="inlineStr">
        <is>
          <t>Social</t>
        </is>
      </c>
      <c r="D38" s="23" t="inlineStr">
        <is>
          <t>In a bakery, a loose group of people stands near the counter. You can't tell whether it's a queue.</t>
        </is>
      </c>
      <c r="E38" s="23" t="inlineStr">
        <is>
          <t>What do you do?</t>
        </is>
      </c>
      <c r="F38" s="23" t="inlineStr">
        <is>
          <t>Ask, “Sorry, is this the end of the queue?”</t>
        </is>
      </c>
      <c r="G38" s="23" t="inlineStr">
        <is>
          <t>It's a completely normal question. Queue order is taken seriously as a matter of fairness.</t>
        </is>
      </c>
      <c r="H38" s="23" t="inlineStr">
        <is>
          <t>Walk to the front of the group.</t>
        </is>
      </c>
      <c r="I38" s="23" t="inlineStr">
        <is>
          <t>That prompts visible disapproval. Queueing is taken seriously.</t>
        </is>
      </c>
      <c r="J38" s="23" t="inlineStr">
        <is>
          <t>Stand nearby and watch to work out who's next.</t>
        </is>
      </c>
      <c r="K38" s="23" t="inlineStr">
        <is>
          <t>Asking directly is normal and expected. Guessing risks stepping out of order.</t>
        </is>
      </c>
      <c r="L38" s="23" t="inlineStr">
        <is>
          <t>Approved</t>
        </is>
      </c>
      <c r="M38" s="23" t="inlineStr">
        <is>
          <t>Bulk-approved by founder; item review pending</t>
        </is>
      </c>
      <c r="N38" s="24" t="n"/>
      <c r="O38" s="23" t="n"/>
      <c r="P38" s="25">
        <f>MAX(LEN(G38),LEN(I38),LEN(K38))</f>
        <v/>
      </c>
      <c r="Q38" s="26" t="inlineStr">
        <is>
          <t>Queue order is taken seriously as a matter of fairness, and a correction — even a mild one — reflects a real social expectation, not an overreaction.</t>
        </is>
      </c>
      <c r="R38" s="26" t="inlineStr">
        <is>
          <t>When uncertain whether a group is queueing, ask directly: “Sorry, is this the end of the queue?” — a completely normal and expected question.</t>
        </is>
      </c>
    </row>
    <row r="39" ht="60" customHeight="1" s="15">
      <c r="A39" s="23" t="inlineStr">
        <is>
          <t>SC-SO-4-a</t>
        </is>
      </c>
      <c r="B39" s="23" t="inlineStr">
        <is>
          <t>SO-4-small-talk-weather-function</t>
        </is>
      </c>
      <c r="C39" s="23" t="inlineStr">
        <is>
          <t>Social</t>
        </is>
      </c>
      <c r="D39" s="23" t="inlineStr">
        <is>
          <t>A shopkeeper says, “Terrible weather we're having, isn't it?”</t>
        </is>
      </c>
      <c r="E39" s="23" t="inlineStr">
        <is>
          <t>How do you answer?</t>
        </is>
      </c>
      <c r="F39" s="23" t="inlineStr">
        <is>
          <t>Briefly agree: “I know, awful, isn't it!”</t>
        </is>
      </c>
      <c r="G39" s="23" t="inlineStr">
        <is>
          <t>It's a greeting ritual to set a friendly tone, not a real question about the weather.</t>
        </is>
      </c>
      <c r="H39" s="23" t="inlineStr">
        <is>
          <t>Give your detailed view of the forecast.</t>
        </is>
      </c>
      <c r="I39" s="23" t="inlineStr">
        <is>
          <t>A long answer to a ritual remark comes across as oddly serious.</t>
        </is>
      </c>
      <c r="J39" s="23" t="inlineStr">
        <is>
          <t>Say nothing, since it isn't really a question.</t>
        </is>
      </c>
      <c r="K39" s="23" t="inlineStr">
        <is>
          <t>The reply is part of the greeting. A brief agreement keeps the tone friendly.</t>
        </is>
      </c>
      <c r="L39" s="23" t="inlineStr">
        <is>
          <t>Approved</t>
        </is>
      </c>
      <c r="M39" s="23" t="inlineStr">
        <is>
          <t>Bulk-approved by founder; item review pending</t>
        </is>
      </c>
      <c r="N39" s="27" t="inlineStr">
        <is>
          <t>Yes</t>
        </is>
      </c>
      <c r="O39" s="23" t="n"/>
      <c r="P39" s="25">
        <f>MAX(LEN(G39),LEN(I39),LEN(K39))</f>
        <v/>
      </c>
      <c r="Q39" s="26" t="inlineStr">
        <is>
          <t>This is a social ritual to establish a friendly tone, not a genuine request for detailed opinion or information about the weather.</t>
        </is>
      </c>
      <c r="R39" s="26" t="inlineStr">
        <is>
          <t>A brief, light agreement (“I know, awful, isn't it!”) is the expected response — treat it as a greeting, not a real question.</t>
        </is>
      </c>
    </row>
    <row r="40" ht="75" customHeight="1" s="15">
      <c r="A40" s="23" t="inlineStr">
        <is>
          <t>SC-SO-5-a</t>
        </is>
      </c>
      <c r="B40" s="23" t="inlineStr">
        <is>
          <t>SO-5-punctuality-for-social-events</t>
        </is>
      </c>
      <c r="C40" s="23" t="inlineStr">
        <is>
          <t>Social</t>
        </is>
      </c>
      <c r="D40" s="23" t="inlineStr">
        <is>
          <t>You're invited to a friend's casual dinner for 7pm. You arrive at exactly 7pm and the host is still cooking.</t>
        </is>
      </c>
      <c r="E40" s="23" t="inlineStr">
        <is>
          <t>What would have been better?</t>
        </is>
      </c>
      <c r="F40" s="23" t="inlineStr">
        <is>
          <t>Arriving 10 to 15 minutes after the stated time.</t>
        </is>
      </c>
      <c r="G40" s="23" t="inlineStr">
        <is>
          <t>For casual home events the time is treated as approximate. Formal and work events are different.</t>
        </is>
      </c>
      <c r="H40" s="23" t="inlineStr">
        <is>
          <t>Arriving even earlier, to help.</t>
        </is>
      </c>
      <c r="I40" s="23" t="inlineStr">
        <is>
          <t>Earlier makes it worse. Hosts often aren't ready on the dot.</t>
        </is>
      </c>
      <c r="J40" s="23" t="inlineStr">
        <is>
          <t>Arriving an hour late, to be safe.</t>
        </is>
      </c>
      <c r="K40" s="23" t="inlineStr">
        <is>
          <t>Too far. About 10 to 15 minutes after is the usual margin for a casual invitation.</t>
        </is>
      </c>
      <c r="L40" s="23" t="inlineStr">
        <is>
          <t>Approved</t>
        </is>
      </c>
      <c r="M40" s="23" t="inlineStr">
        <is>
          <t>Bulk-approved by founder; item review pending</t>
        </is>
      </c>
      <c r="N40" s="24" t="n"/>
      <c r="O40" s="23" t="n"/>
      <c r="P40" s="25">
        <f>MAX(LEN(G40),LEN(I40),LEN(K40))</f>
        <v/>
      </c>
      <c r="Q40" s="26" t="inlineStr">
        <is>
          <t>For casual social events specifically (not formal or work-related ones), the stated time is often treated as approximate rather than fixed — arriving exactly on time can occasionally catch a host still getting ready.</t>
        </is>
      </c>
      <c r="R40" s="26" t="inlineStr">
        <is>
          <t>For clearly informal social invitations, treat the stated time as approximate and consider arriving 10-15 minutes after — though always exactly on time for anything formal or work-related.</t>
        </is>
      </c>
    </row>
    <row r="41" ht="61.5" customHeight="1" s="15">
      <c r="A41" s="23" t="inlineStr">
        <is>
          <t>SC-SO-6-a</t>
        </is>
      </c>
      <c r="B41" s="23" t="inlineStr">
        <is>
          <t>SO-6-lets-do-this-again-closing-phrase</t>
        </is>
      </c>
      <c r="C41" s="23" t="inlineStr">
        <is>
          <t>Social</t>
        </is>
      </c>
      <c r="D41" s="23" t="inlineStr">
        <is>
          <t>As you part, a new friend says, “We should totally do this again, let's not leave it so long next time.” No date is mentioned.</t>
        </is>
      </c>
      <c r="E41" s="23" t="inlineStr">
        <is>
          <t>What do you do?</t>
        </is>
      </c>
      <c r="F41" s="23" t="inlineStr">
        <is>
          <t>Suggest a specific time: “Would you be free sometime in the next couple of weeks?”</t>
        </is>
      </c>
      <c r="G41" s="23" t="inlineStr">
        <is>
          <t>The feeling is usually genuine, but with no date it isn't a firm plan.</t>
        </is>
      </c>
      <c r="H41" s="23" t="inlineStr">
        <is>
          <t>Wait for them to send an invitation.</t>
        </is>
      </c>
      <c r="I41" s="23" t="inlineStr">
        <is>
          <t>It may not happen without a specific date. If you're keen, suggest one.</t>
        </is>
      </c>
      <c r="J41" s="23" t="inlineStr">
        <is>
          <t>Take it as a polite lie and drop it.</t>
        </is>
      </c>
      <c r="K41" s="23" t="inlineStr">
        <is>
          <t>It's usually sincere, just not a plan. A concrete suggestion turns it into one.</t>
        </is>
      </c>
      <c r="L41" s="23" t="inlineStr">
        <is>
          <t>Approved</t>
        </is>
      </c>
      <c r="M41" s="23" t="inlineStr">
        <is>
          <t>Bulk-approved by founder; item review pending</t>
        </is>
      </c>
      <c r="N41" s="24" t="n"/>
      <c r="O41" s="23" t="n"/>
      <c r="P41" s="25">
        <f>MAX(LEN(G41),LEN(I41),LEN(K41))</f>
        <v/>
      </c>
      <c r="Q41" s="26" t="inlineStr">
        <is>
          <t>The sentiment is usually genuine as a general feeling, but without a specific date attached, it's not a firm plan and may or may not happen.</t>
        </is>
      </c>
      <c r="R41" s="26" t="inlineStr">
        <is>
          <t>If genuinely interested in meeting again, suggest a specific time on the spot or shortly after: "Would you be free sometime in the next couple of weeks?"</t>
        </is>
      </c>
    </row>
    <row r="42" ht="61.5" customHeight="1" s="15">
      <c r="A42" s="23" t="inlineStr">
        <is>
          <t>SC-SO-7-a</t>
        </is>
      </c>
      <c r="B42" s="23" t="inlineStr">
        <is>
          <t>SO-7-round-buying-pub-culture</t>
        </is>
      </c>
      <c r="C42" s="23" t="inlineStr">
        <is>
          <t>Social</t>
        </is>
      </c>
      <c r="D42" s="23" t="inlineStr">
        <is>
          <t>At the pub a colleague says, “I'll get this round.” Later, as the evening goes on, he looks around the group expectantly.</t>
        </is>
      </c>
      <c r="E42" s="23" t="inlineStr">
        <is>
          <t>What do you do?</t>
        </is>
      </c>
      <c r="F42" s="23" t="inlineStr">
        <is>
          <t>Offer to buy the next round, even a non-alcoholic one if you prefer.</t>
        </is>
      </c>
      <c r="G42" s="23" t="inlineStr">
        <is>
          <t>Rounds are reciprocal. Consistently not taking a turn can be quietly noticed.</t>
        </is>
      </c>
      <c r="H42" s="23" t="inlineStr">
        <is>
          <t>Say thanks and let others keep buying.</t>
        </is>
      </c>
      <c r="I42" s="23" t="inlineStr">
        <is>
          <t>Letting others buy all evening is noticed, even if nobody says so.</t>
        </is>
      </c>
      <c r="J42" s="23" t="inlineStr">
        <is>
          <t>Pay him back for your own drink at the end.</t>
        </is>
      </c>
      <c r="K42" s="23" t="inlineStr">
        <is>
          <t>That settles the cost but misses the norm: taking a turn is how you take part.</t>
        </is>
      </c>
      <c r="L42" s="23" t="inlineStr">
        <is>
          <t>Approved</t>
        </is>
      </c>
      <c r="M42" s="23" t="inlineStr">
        <is>
          <t>Bulk-approved by founder; item review pending</t>
        </is>
      </c>
      <c r="N42" s="24" t="n"/>
      <c r="O42" s="23" t="n"/>
      <c r="P42" s="25">
        <f>MAX(LEN(G42),LEN(I42),LEN(K42))</f>
        <v/>
      </c>
      <c r="Q42" s="26" t="inlineStr">
        <is>
          <t>This is a reciprocal social norm rather than a one-off generosity; consistently not taking a turn can be quietly noticed, even if never mentioned directly.</t>
        </is>
      </c>
      <c r="R42" s="26" t="inlineStr">
        <is>
          <t>Offer to buy a round at a natural point in the evening, even a non-alcoholic one if preferred, to participate in the norm rather than opting out entirely.</t>
        </is>
      </c>
    </row>
    <row r="43" ht="61.5" customHeight="1" s="15">
      <c r="A43" s="23" t="inlineStr">
        <is>
          <t>SC-SO-9-a</t>
        </is>
      </c>
      <c r="B43" s="23" t="inlineStr">
        <is>
          <t>SO-9-emotional-understatement-not-too-bad</t>
        </is>
      </c>
      <c r="C43" s="23" t="inlineStr">
        <is>
          <t>Social</t>
        </is>
      </c>
      <c r="D43" s="23" t="inlineStr">
        <is>
          <t>You ask a colleague how a big presentation went. They answer, “Not too bad, thanks.”</t>
        </is>
      </c>
      <c r="E43" s="23" t="inlineStr">
        <is>
          <t>How do you read it?</t>
        </is>
      </c>
      <c r="F43" s="23" t="inlineStr">
        <is>
          <t>It could mean anything. Ask what part felt strongest.</t>
        </is>
      </c>
      <c r="G43" s="23" t="inlineStr">
        <is>
          <t>These phrases are used for very good and for difficult outcomes alike.</t>
        </is>
      </c>
      <c r="H43" s="23" t="inlineStr">
        <is>
          <t>As lukewarm, so it probably went badly.</t>
        </is>
      </c>
      <c r="I43" s="23" t="inlineStr">
        <is>
          <t>The same words are often used for something that went very well.</t>
        </is>
      </c>
      <c r="J43" s="23" t="inlineStr">
        <is>
          <t>As proof it went perfectly.</t>
        </is>
      </c>
      <c r="K43" s="23" t="inlineStr">
        <is>
          <t>It might have, or it might have been hard. Ask a specific question to find out.</t>
        </is>
      </c>
      <c r="L43" s="23" t="inlineStr">
        <is>
          <t>Approved</t>
        </is>
      </c>
      <c r="M43" s="23" t="inlineStr">
        <is>
          <t>Bulk-approved by founder; item review pending</t>
        </is>
      </c>
      <c r="N43" s="24" t="n"/>
      <c r="O43" s="23" t="n"/>
      <c r="P43" s="25">
        <f>MAX(LEN(G43),LEN(I43),LEN(K43))</f>
        <v/>
      </c>
      <c r="Q43" s="26" t="inlineStr">
        <is>
          <t>These phrases don't reliably indicate a mild or lukewarm experience — the same words are often used for situations that were actually very good or quite difficult.</t>
        </is>
      </c>
      <c r="R43" s="26" t="inlineStr">
        <is>
          <t>Follow up with a specific question rather than taking a flat understatement at face value: "That's great to hear — what part felt strongest?"</t>
        </is>
      </c>
    </row>
    <row r="44" ht="61.5" customHeight="1" s="15">
      <c r="A44" s="23" t="inlineStr">
        <is>
          <t>SC-SO-11-a</t>
        </is>
      </c>
      <c r="B44" s="23" t="inlineStr">
        <is>
          <t>SO-11-dinner-party-gift-bringing-norm</t>
        </is>
      </c>
      <c r="C44" s="23" t="inlineStr">
        <is>
          <t>Social</t>
        </is>
      </c>
      <c r="D44" s="23" t="inlineStr">
        <is>
          <t>A friend invites you with: “Come round for dinner on Friday.” Nothing is said about bringing anything.</t>
        </is>
      </c>
      <c r="E44" s="23" t="inlineStr">
        <is>
          <t>What do you do?</t>
        </is>
      </c>
      <c r="F44" s="23" t="inlineStr">
        <is>
          <t>Bring a small item, such as wine, dessert or flowers.</t>
        </is>
      </c>
      <c r="G44" s="23" t="inlineStr">
        <is>
          <t>The expectation is assumed as common knowledge, so it doesn't need to be stated.</t>
        </is>
      </c>
      <c r="H44" s="23" t="inlineStr">
        <is>
          <t>Go empty-handed, since nothing was asked.</t>
        </is>
      </c>
      <c r="I44" s="23" t="inlineStr">
        <is>
          <t>Most other guests will bring something. Not being asked doesn't mean not expected.</t>
        </is>
      </c>
      <c r="J44" s="23" t="inlineStr">
        <is>
          <t>Offer to pay towards the food.</t>
        </is>
      </c>
      <c r="K44" s="23" t="inlineStr">
        <is>
          <t>That's more than is expected. A small gift such as wine or flowers is the usual gesture.</t>
        </is>
      </c>
      <c r="L44" s="23" t="inlineStr">
        <is>
          <t>Approved</t>
        </is>
      </c>
      <c r="M44" s="23" t="inlineStr">
        <is>
          <t>Bulk-approved by founder; item review pending</t>
        </is>
      </c>
      <c r="N44" s="24" t="n"/>
      <c r="O44" s="23" t="n"/>
      <c r="P44" s="25">
        <f>MAX(LEN(G44),LEN(I44),LEN(K44))</f>
        <v/>
      </c>
      <c r="Q44" s="26" t="inlineStr">
        <is>
          <t>The expectation is assumed as common knowledge rather than stated, so its absence from the invitation doesn't mean it isn't expected.</t>
        </is>
      </c>
      <c r="R44" s="26" t="inlineStr">
        <is>
          <t>As a general default, bring a small item (wine, a dessert, flowers) to any home dinner invitation unless the host has explicitly said not to.</t>
        </is>
      </c>
    </row>
    <row r="45" ht="61.5" customHeight="1" s="15">
      <c r="A45" s="23" t="inlineStr">
        <is>
          <t>SC-SO-13-a</t>
        </is>
      </c>
      <c r="B45" s="23" t="inlineStr">
        <is>
          <t>SO-13-deadpan-irony-unflagged</t>
        </is>
      </c>
      <c r="C45" s="23" t="inlineStr">
        <is>
          <t>Social</t>
        </is>
      </c>
      <c r="D45" s="23" t="inlineStr">
        <is>
          <t>Looking at a chaotic project plan, a colleague says, without a smile, “Oh, that's going well, then.”</t>
        </is>
      </c>
      <c r="E45" s="23" t="inlineStr">
        <is>
          <t>How do you take it?</t>
        </is>
      </c>
      <c r="F45" s="23" t="inlineStr">
        <is>
          <t>As dry humour. A light “ha, fair enough” works.</t>
        </is>
      </c>
      <c r="G45" s="23" t="inlineStr">
        <is>
          <t>Deadpan sarcasm intentionally has no tonal cue. It isn't meant literally.</t>
        </is>
      </c>
      <c r="H45" s="23" t="inlineStr">
        <is>
          <t>Literally, and ask what they're worried about.</t>
        </is>
      </c>
      <c r="I45" s="23" t="inlineStr">
        <is>
          <t>A remark that contradicts the obvious facts is often dry humour, not information.</t>
        </is>
      </c>
      <c r="J45" s="23" t="inlineStr">
        <is>
          <t>As an insult, and take offence.</t>
        </is>
      </c>
      <c r="K45" s="23" t="inlineStr">
        <is>
          <t>A straight face is part of the style. A light reply works safely either way.</t>
        </is>
      </c>
      <c r="L45" s="23" t="inlineStr">
        <is>
          <t>Approved</t>
        </is>
      </c>
      <c r="M45" s="23" t="inlineStr">
        <is>
          <t>Bulk-approved by founder; item review pending</t>
        </is>
      </c>
      <c r="N45" s="24" t="n"/>
      <c r="O45" s="23" t="n"/>
      <c r="P45" s="25">
        <f>MAX(LEN(G45),LEN(I45),LEN(K45))</f>
        <v/>
      </c>
      <c r="Q45" s="26" t="inlineStr">
        <is>
          <t>The lack of an obvious tonal cue is intentional to the humor style, not a sign the person actually meant the statement literally.</t>
        </is>
      </c>
      <c r="R45" s="26" t="inlineStr">
        <is>
          <t>When a statement seems oddly extreme or contradicts the obvious facts, consider it might be dry humor, and a light "ha, fair enough" response works safely either way.</t>
        </is>
      </c>
    </row>
    <row r="46" ht="61.5" customHeight="1" s="15">
      <c r="A46" s="23" t="inlineStr">
        <is>
          <t>SC-SO-15-a</t>
        </is>
      </c>
      <c r="B46" s="23" t="inlineStr">
        <is>
          <t>SO-15-compliment-deflection-response</t>
        </is>
      </c>
      <c r="C46" s="23" t="inlineStr">
        <is>
          <t>Social</t>
        </is>
      </c>
      <c r="D46" s="23" t="inlineStr">
        <is>
          <t>You tell a colleague, “That presentation was brilliant.” She replies, “Oh, it was nothing, really.”</t>
        </is>
      </c>
      <c r="E46" s="23" t="inlineStr">
        <is>
          <t>What do you say next?</t>
        </is>
      </c>
      <c r="F46" s="23" t="inlineStr">
        <is>
          <t>A warm restatement: “Well, I thought it was great.”</t>
        </is>
      </c>
      <c r="G46" s="23" t="inlineStr">
        <is>
          <t>It's a politeness habit, not a real denial. A brief warm restatement lands well.</t>
        </is>
      </c>
      <c r="H46" s="23" t="inlineStr">
        <is>
          <t>Insist on proving it with examples until she agrees.</t>
        </is>
      </c>
      <c r="I46" s="23" t="inlineStr">
        <is>
          <t>No need to press. Take the deflection lightly.</t>
        </is>
      </c>
      <c r="J46" s="23" t="inlineStr">
        <is>
          <t>Agree that it was nothing special.</t>
        </is>
      </c>
      <c r="K46" s="23" t="inlineStr">
        <is>
          <t>She doesn't mean it literally. Taking it literally misses the point.</t>
        </is>
      </c>
      <c r="L46" s="23" t="inlineStr">
        <is>
          <t>Approved</t>
        </is>
      </c>
      <c r="M46" s="23" t="inlineStr">
        <is>
          <t>Bulk-approved by founder; item review pending</t>
        </is>
      </c>
      <c r="N46" s="24" t="n"/>
      <c r="O46" s="23" t="n"/>
      <c r="P46" s="25">
        <f>MAX(LEN(G46),LEN(I46),LEN(K46))</f>
        <v/>
      </c>
      <c r="Q46" s="26" t="inlineStr">
        <is>
          <t>This deflection is a social politeness habit rather than a genuine denial that the compliment is deserved or accurate.</t>
        </is>
      </c>
      <c r="R46" s="26" t="inlineStr">
        <is>
          <t>A brief, warm restatement usually lands well after a deflection: "Well, I thought it was great" — no need to press further or take the deflection literally.</t>
        </is>
      </c>
    </row>
    <row r="47" ht="61.5" customHeight="1" s="15">
      <c r="A47" s="23" t="inlineStr">
        <is>
          <t>SC-AB-1-a</t>
        </is>
      </c>
      <c r="B47" s="23" t="inlineStr">
        <is>
          <t>AB-1-council-tax-band-query-formality</t>
        </is>
      </c>
      <c r="C47" s="23" t="inlineStr">
        <is>
          <t>Admin &amp; bureaucracy</t>
        </is>
      </c>
      <c r="D47" s="23" t="inlineStr">
        <is>
          <t>You want to ask the council a quick question. The website offers only a multi-step form or a phone line with a long wait.</t>
        </is>
      </c>
      <c r="E47" s="23" t="inlineStr">
        <is>
          <t>What do you do?</t>
        </is>
      </c>
      <c r="F47" s="23" t="inlineStr">
        <is>
          <t>Use the form or phone line, and say clearly at the start if it's urgent.</t>
        </is>
      </c>
      <c r="G47" s="23" t="inlineStr">
        <is>
          <t>It's the standard way UK councils handle queries, not a sign they don't care.</t>
        </is>
      </c>
      <c r="H47" s="23" t="inlineStr">
        <is>
          <t>Keep looking for a direct email address to a person.</t>
        </is>
      </c>
      <c r="I47" s="23" t="inlineStr">
        <is>
          <t>A faster informal route usually doesn't exist. The official channel is the expected one.</t>
        </is>
      </c>
      <c r="J47" s="23" t="inlineStr">
        <is>
          <t>Give up on the question.</t>
        </is>
      </c>
      <c r="K47" s="23" t="inlineStr">
        <is>
          <t>The form works, even for small queries. Note any urgency at the start of the request.</t>
        </is>
      </c>
      <c r="L47" s="23" t="inlineStr">
        <is>
          <t>Approved</t>
        </is>
      </c>
      <c r="M47" s="23" t="inlineStr">
        <is>
          <t>Bulk-approved by founder; item review pending</t>
        </is>
      </c>
      <c r="N47" s="24" t="n"/>
      <c r="O47" s="23" t="n"/>
      <c r="P47" s="25">
        <f>MAX(LEN(G47),LEN(I47),LEN(K47))</f>
        <v/>
      </c>
      <c r="Q47" s="26" t="inlineStr">
        <is>
          <t>This is the standard structure of UK local council service delivery, not a sign the council is uninterested in resolving a simple issue quickly.</t>
        </is>
      </c>
      <c r="R47" s="26" t="inlineStr">
        <is>
          <t>Use the official form or phone line as the expected channel, and if it's genuinely urgent, note that clearly at the start of the request rather than expecting a faster informal route.</t>
        </is>
      </c>
    </row>
    <row r="48" ht="61.5" customHeight="1" s="15">
      <c r="A48" s="23" t="inlineStr">
        <is>
          <t>SC-AB-3-a</t>
        </is>
      </c>
      <c r="B48" s="23" t="inlineStr">
        <is>
          <t>AB-3-gp-registration-proof-of-address-strictness</t>
        </is>
      </c>
      <c r="C48" s="23" t="inlineStr">
        <is>
          <t>Admin &amp; bureaucracy</t>
        </is>
      </c>
      <c r="D48" s="23" t="inlineStr">
        <is>
          <t>At a GP registration desk the clerk says, “We can't accept that. It needs to be a utility bill or bank statement from the last three months.” You offered your tenancy agreement.</t>
        </is>
      </c>
      <c r="E48" s="23" t="inlineStr">
        <is>
          <t>How do you read this?</t>
        </is>
      </c>
      <c r="F48" s="23" t="inlineStr">
        <is>
          <t>As a fixed rule for everyone. Next time, ask in advance which documents are accepted.</t>
        </is>
      </c>
      <c r="G48" s="23" t="inlineStr">
        <is>
          <t>It's an institutional rule applied uniformly, not a judgement about you or your case.</t>
        </is>
      </c>
      <c r="H48" s="23" t="inlineStr">
        <is>
          <t>As the clerk singling you out.</t>
        </is>
      </c>
      <c r="I48" s="23" t="inlineStr">
        <is>
          <t>It's the same for everyone. Asking in advance saves a wasted trip.</t>
        </is>
      </c>
      <c r="J48" s="23" t="inlineStr">
        <is>
          <t>As her choice, so ask her to make an exception.</t>
        </is>
      </c>
      <c r="K48" s="23" t="inlineStr">
        <is>
          <t>Fixed rules leave staff little discretion. Check the requirements before you go.</t>
        </is>
      </c>
      <c r="L48" s="23" t="inlineStr">
        <is>
          <t>Approved</t>
        </is>
      </c>
      <c r="M48" s="23" t="inlineStr">
        <is>
          <t>Bulk-approved by founder; item review pending</t>
        </is>
      </c>
      <c r="N48" s="24" t="n"/>
      <c r="O48" s="23" t="n"/>
      <c r="P48" s="25">
        <f>MAX(LEN(G48),LEN(I48),LEN(K48))</f>
        <v/>
      </c>
      <c r="Q48" s="26" t="inlineStr">
        <is>
          <t>This reflects fixed institutional rules applied uniformly to everyone, not a judgement being made about this specific case.</t>
        </is>
      </c>
      <c r="R48" s="26" t="inlineStr">
        <is>
          <t>Ask in advance exactly which documents are accepted before attending in person, to avoid a wasted trip and the frustration of an on-the-spot rejection.</t>
        </is>
      </c>
    </row>
    <row r="49" ht="61.5" customHeight="1" s="15">
      <c r="A49" s="23" t="inlineStr">
        <is>
          <t>SC-AB-4-a</t>
        </is>
      </c>
      <c r="B49" s="23" t="inlineStr">
        <is>
          <t>AB-4-hmrc-letter-response-urgency-mismatch</t>
        </is>
      </c>
      <c r="C49" s="23" t="inlineStr">
        <is>
          <t>Admin &amp; bureaucracy</t>
        </is>
      </c>
      <c r="D49" s="23" t="inlineStr">
        <is>
          <t>An HMRC letter about a small discrepancy says, “You may be liable for a penalty.” The tone is intimidating.</t>
        </is>
      </c>
      <c r="E49" s="23" t="inlineStr">
        <is>
          <t>What do you do?</t>
        </is>
      </c>
      <c r="F49" s="23" t="inlineStr">
        <is>
          <t>Read what's actually being asked, and call HMRC to check how urgent it is.</t>
        </is>
      </c>
      <c r="G49" s="23" t="inlineStr">
        <is>
          <t>Formal legal wording is used across all HMRC letters, serious or trivial, so tone doesn't show urgency.</t>
        </is>
      </c>
      <c r="H49" s="23" t="inlineStr">
        <is>
          <t>Treat it as a serious problem and panic.</t>
        </is>
      </c>
      <c r="I49" s="23" t="inlineStr">
        <is>
          <t>The tone alone isn't a guide. Read the actual content and check.</t>
        </is>
      </c>
      <c r="J49" s="23" t="inlineStr">
        <is>
          <t>Ignore it, since the wording is just boilerplate.</t>
        </is>
      </c>
      <c r="K49" s="23" t="inlineStr">
        <is>
          <t>Don't ignore it either. Read it and call to clarify the real urgency.</t>
        </is>
      </c>
      <c r="L49" s="23" t="inlineStr">
        <is>
          <t>Approved</t>
        </is>
      </c>
      <c r="M49" s="23" t="inlineStr">
        <is>
          <t>Bulk-approved by founder; item review pending</t>
        </is>
      </c>
      <c r="N49" s="24" t="n"/>
      <c r="O49" s="23" t="n"/>
      <c r="P49" s="25">
        <f>MAX(LEN(G49),LEN(I49),LEN(K49))</f>
        <v/>
      </c>
      <c r="Q49" s="26" t="inlineStr">
        <is>
          <t>Standardized formal wording is used across the full range of HMRC correspondence, from serious to trivial, so the tone alone shouldn't be used to gauge urgency.</t>
        </is>
      </c>
      <c r="R49" s="26" t="inlineStr">
        <is>
          <t>Read the specific factual content (what's actually being asked or stated), and call HMRC directly to clarify actual urgency and next steps rather than reacting to the tone.</t>
        </is>
      </c>
    </row>
    <row r="50" ht="61.5" customHeight="1" s="15">
      <c r="A50" s="23" t="inlineStr">
        <is>
          <t>SC-AB-5-a</t>
        </is>
      </c>
      <c r="B50" s="23" t="inlineStr">
        <is>
          <t>AB-5-visa-immigration-advisor-directness-expectation</t>
        </is>
      </c>
      <c r="C50" s="23" t="inlineStr">
        <is>
          <t>Admin &amp; bureaucracy</t>
        </is>
      </c>
      <c r="D50" s="23" t="inlineStr">
        <is>
          <t>You ask an immigration advisor, “Is my situation okay?” and get a general, hedged answer: “It depends, generally speaking.”</t>
        </is>
      </c>
      <c r="E50" s="23" t="inlineStr">
        <is>
          <t>What do you do?</t>
        </is>
      </c>
      <c r="F50" s="23" t="inlineStr">
        <is>
          <t>Ask specific, direct questions, such as exactly which figures or dates are required.</t>
        </is>
      </c>
      <c r="G50" s="23" t="inlineStr">
        <is>
          <t>Advisors tend to answer in kind: a specific question gets a specific, more useful answer.</t>
        </is>
      </c>
      <c r="H50" s="23" t="inlineStr">
        <is>
          <t>Take the answer as reassurance.</t>
        </is>
      </c>
      <c r="I50" s="23" t="inlineStr">
        <is>
          <t>It's a general reply to a general question, not confirmation of your case.</t>
        </is>
      </c>
      <c r="J50" s="23" t="inlineStr">
        <is>
          <t>Ask the same broad question again, more firmly.</t>
        </is>
      </c>
      <c r="K50" s="23" t="inlineStr">
        <is>
          <t>A narrower question is what gets a specific answer.</t>
        </is>
      </c>
      <c r="L50" s="23" t="inlineStr">
        <is>
          <t>Approved</t>
        </is>
      </c>
      <c r="M50" s="23" t="inlineStr">
        <is>
          <t>Bulk-approved by founder; item review pending</t>
        </is>
      </c>
      <c r="N50" s="27" t="inlineStr">
        <is>
          <t>Yes</t>
        </is>
      </c>
      <c r="O50" s="23" t="n"/>
      <c r="P50" s="25">
        <f>MAX(LEN(G50),LEN(I50),LEN(K50))</f>
        <v/>
      </c>
      <c r="Q50" s="26" t="inlineStr">
        <is>
          <t>Professional UK advisors typically respond in kind to how a question is asked — a specific, direct question usually receives a specific, direct, more useful answer.</t>
        </is>
      </c>
      <c r="R50" s="26" t="inlineStr">
        <is>
          <t>Ask specific, direct questions (“What exactly is the minimum bank balance required, and for how many days?”) rather than broad ones, to get equally specific answers.</t>
        </is>
      </c>
    </row>
    <row r="51" ht="61.5" customHeight="1" s="15">
      <c r="A51" s="23" t="inlineStr">
        <is>
          <t>SC-AB-8-a</t>
        </is>
      </c>
      <c r="B51" s="23" t="inlineStr">
        <is>
          <t>AB-8-please-allow-28-days-boilerplate</t>
        </is>
      </c>
      <c r="C51" s="23" t="inlineStr">
        <is>
          <t>Admin &amp; bureaucracy</t>
        </is>
      </c>
      <c r="D51" s="23" t="inlineStr">
        <is>
          <t>An official form says, “Please allow up to 28 days for a response.” You're worried it'll take the full month.</t>
        </is>
      </c>
      <c r="E51" s="23" t="inlineStr">
        <is>
          <t>How do you treat the figure?</t>
        </is>
      </c>
      <c r="F51" s="23" t="inlineStr">
        <is>
          <t>As an upper limit. Follow up only after the full window has passed.</t>
        </is>
      </c>
      <c r="G51" s="23" t="inlineStr">
        <is>
          <t>It's a safety margin covering worst cases, not an average, and replies are often faster.</t>
        </is>
      </c>
      <c r="H51" s="23" t="inlineStr">
        <is>
          <t>As the expected wait, so plan around 28 days.</t>
        </is>
      </c>
      <c r="I51" s="23" t="inlineStr">
        <is>
          <t>Responses often arrive sooner. It's a maximum.</t>
        </is>
      </c>
      <c r="J51" s="23" t="inlineStr">
        <is>
          <t>As a cue to chase after a week.</t>
        </is>
      </c>
      <c r="K51" s="23" t="inlineStr">
        <is>
          <t>Chasing before the stated window ends is premature. Wait until it has passed.</t>
        </is>
      </c>
      <c r="L51" s="23" t="inlineStr">
        <is>
          <t>Approved</t>
        </is>
      </c>
      <c r="M51" s="23" t="inlineStr">
        <is>
          <t>Bulk-approved by founder; item review pending</t>
        </is>
      </c>
      <c r="N51" s="24" t="n"/>
      <c r="O51" s="23" t="n"/>
      <c r="P51" s="25">
        <f>MAX(LEN(G51),LEN(I51),LEN(K51))</f>
        <v/>
      </c>
      <c r="Q51" s="26" t="inlineStr">
        <is>
          <t>Actual processing is often faster than the stated maximum, since the figure is a safety margin covering worst-case delays, not an average expectation.</t>
        </is>
      </c>
      <c r="R51" s="26" t="inlineStr">
        <is>
          <t>Treat the stated window as an upper limit rather than an expected wait, and only follow up once that full window has genuinely passed.</t>
        </is>
      </c>
    </row>
    <row r="52" ht="61.5" customHeight="1" s="15">
      <c r="A52" s="23" t="inlineStr">
        <is>
          <t>SC-AB-9-a</t>
        </is>
      </c>
      <c r="B52" s="23" t="inlineStr">
        <is>
          <t>AB-9-energy-switch-retention-script</t>
        </is>
      </c>
      <c r="C52" s="23" t="inlineStr">
        <is>
          <t>Admin &amp; bureaucracy</t>
        </is>
      </c>
      <c r="D52" s="23" t="inlineStr">
        <is>
          <t>You try to cancel a broadband contract. The agent says, “Before you go, can I offer you our best available rate?”</t>
        </is>
      </c>
      <c r="E52" s="23" t="inlineStr">
        <is>
          <t>What do you do?</t>
        </is>
      </c>
      <c r="F52" s="23" t="inlineStr">
        <is>
          <t>Compare it with the new deal, and decline if the new one is better.</t>
        </is>
      </c>
      <c r="G52" s="23" t="inlineStr">
        <is>
          <t>It's a standard retention step used broadly, not a special effort because you're valued.</t>
        </is>
      </c>
      <c r="H52" s="23" t="inlineStr">
        <is>
          <t>Accept at once, since it must be a special offer.</t>
        </is>
      </c>
      <c r="I52" s="23" t="inlineStr">
        <is>
          <t>It's offered routinely. Judge it against your alternative on its own merits.</t>
        </is>
      </c>
      <c r="J52" s="23" t="inlineStr">
        <is>
          <t>Feel you have to take it, to be polite.</t>
        </is>
      </c>
      <c r="K52" s="23" t="inlineStr">
        <is>
          <t>Declining is fine. A polite “no thanks” works if your other offer is better.</t>
        </is>
      </c>
      <c r="L52" s="23" t="inlineStr">
        <is>
          <t>Approved</t>
        </is>
      </c>
      <c r="M52" s="23" t="inlineStr">
        <is>
          <t>Bulk-approved by founder; item review pending</t>
        </is>
      </c>
      <c r="N52" s="24" t="n"/>
      <c r="O52" s="23" t="n"/>
      <c r="P52" s="25">
        <f>MAX(LEN(G52),LEN(I52),LEN(K52))</f>
        <v/>
      </c>
      <c r="Q52" s="26" t="inlineStr">
        <is>
          <t>This is a standard sales retention step applied broadly, not a special effort made only because this particular customer is especially valued.</t>
        </is>
      </c>
      <c r="R52" s="26" t="inlineStr">
        <is>
          <t>It's fine to compare the retention offer against the new supplier's deal on its own merits and simply decline if the new offer is still better.</t>
        </is>
      </c>
    </row>
    <row r="53" ht="61.5" customHeight="1" s="15">
      <c r="A53" s="23" t="inlineStr">
        <is>
          <t>SC-AB-10-a</t>
        </is>
      </c>
      <c r="B53" s="23" t="inlineStr">
        <is>
          <t>AB-10-tv-licence-enforcement-letter-tone</t>
        </is>
      </c>
      <c r="C53" s="23" t="inlineStr">
        <is>
          <t>Admin &amp; bureaucracy</t>
        </is>
      </c>
      <c r="D53" s="23" t="inlineStr">
        <is>
          <t>You don't own a television. A letter arrives: “Our records show no licence is held at this address.” It sounds threatening.</t>
        </is>
      </c>
      <c r="E53" s="23" t="inlineStr">
        <is>
          <t>What do you do?</t>
        </is>
      </c>
      <c r="F53" s="23" t="inlineStr">
        <is>
          <t>Complete the “no licence needed” declaration on their website.</t>
        </is>
      </c>
      <c r="G53" s="23" t="inlineStr">
        <is>
          <t>These letters go to many households and aren't evidence of an investigation into you.</t>
        </is>
      </c>
      <c r="H53" s="23" t="inlineStr">
        <is>
          <t>Panic, since they must be investigating you.</t>
        </is>
      </c>
      <c r="I53" s="23" t="inlineStr">
        <is>
          <t>They're sent widely, even to people who don't watch broadcast TV.</t>
        </is>
      </c>
      <c r="J53" s="23" t="inlineStr">
        <is>
          <t>Ignore it completely.</t>
        </is>
      </c>
      <c r="K53" s="23" t="inlineStr">
        <is>
          <t>A short online declaration settles it, so there's no need to worry, and it's easy to do.</t>
        </is>
      </c>
      <c r="L53" s="23" t="inlineStr">
        <is>
          <t>Approved</t>
        </is>
      </c>
      <c r="M53" s="23" t="inlineStr">
        <is>
          <t>Bulk-approved by founder; item review pending</t>
        </is>
      </c>
      <c r="N53" s="24" t="n"/>
      <c r="O53" s="23" t="n"/>
      <c r="P53" s="25">
        <f>MAX(LEN(G53),LEN(I53),LEN(K53))</f>
        <v/>
      </c>
      <c r="Q53" s="26" t="inlineStr">
        <is>
          <t>These letters are sent widely and are not evidence of a specific investigation into that individual household's viewing habits.</t>
        </is>
      </c>
      <c r="R53" s="26" t="inlineStr">
        <is>
          <t>If no licence is genuinely needed, it's sufficient to complete the standard "no licence needed" declaration on their website rather than worrying further.</t>
        </is>
      </c>
    </row>
    <row r="54" ht="61.5" customHeight="1" s="15">
      <c r="A54" s="23" t="inlineStr">
        <is>
          <t>SC-AB-12-a</t>
        </is>
      </c>
      <c r="B54" s="23" t="inlineStr">
        <is>
          <t>AB-12-school-waiting-list-ack-letter</t>
        </is>
      </c>
      <c r="C54" s="23" t="inlineStr">
        <is>
          <t>Admin &amp; bureaucracy</t>
        </is>
      </c>
      <c r="D54" s="23" t="inlineStr">
        <is>
          <t>You apply for a nursery place and receive a letter: “Your application has been received and added to our records.”</t>
        </is>
      </c>
      <c r="E54" s="23" t="inlineStr">
        <is>
          <t>What does the letter tell you?</t>
        </is>
      </c>
      <c r="F54" s="23" t="inlineStr">
        <is>
          <t>Only that it was received. Ask separately where you are on the waiting list.</t>
        </is>
      </c>
      <c r="G54" s="23" t="inlineStr">
        <is>
          <t>It's procedural confirmation. Its formal tone says nothing about how soon a place might be offered.</t>
        </is>
      </c>
      <c r="H54" s="23" t="inlineStr">
        <is>
          <t>That a place is likely soon.</t>
        </is>
      </c>
      <c r="I54" s="23" t="inlineStr">
        <is>
          <t>It doesn't say that. It carries no signal about timing.</t>
        </is>
      </c>
      <c r="J54" s="23" t="inlineStr">
        <is>
          <t>That your application has been refused.</t>
        </is>
      </c>
      <c r="K54" s="23" t="inlineStr">
        <is>
          <t>It's neutral confirmation. If timing matters, ask directly.</t>
        </is>
      </c>
      <c r="L54" s="23" t="inlineStr">
        <is>
          <t>Approved</t>
        </is>
      </c>
      <c r="M54" s="23" t="inlineStr">
        <is>
          <t>Bulk-approved by founder; item review pending</t>
        </is>
      </c>
      <c r="N54" s="24" t="n"/>
      <c r="O54" s="23" t="n"/>
      <c r="P54" s="25">
        <f>MAX(LEN(G54),LEN(I54),LEN(K54))</f>
        <v/>
      </c>
      <c r="Q54" s="26" t="inlineStr">
        <is>
          <t>This letter is purely procedural confirmation, and its formal tone doesn't provide any signal about how likely or soon a place might be offered.</t>
        </is>
      </c>
      <c r="R54" s="26" t="inlineStr">
        <is>
          <t>If timing matters, ask directly and separately: "Roughly where would we be on the waiting list, and when might we hear about a place?"</t>
        </is>
      </c>
    </row>
    <row r="55" ht="61.5" customHeight="1" s="15">
      <c r="A55" s="23" t="inlineStr">
        <is>
          <t>SC-AB-14-a</t>
        </is>
      </c>
      <c r="B55" s="23" t="inlineStr">
        <is>
          <t>AB-14-ombudsman-escalation-language</t>
        </is>
      </c>
      <c r="C55" s="23" t="inlineStr">
        <is>
          <t>Admin &amp; bureaucracy</t>
        </is>
      </c>
      <c r="D55" s="23" t="inlineStr">
        <is>
          <t>A company's final complaint reply ends: “If you're not satisfied, you can refer this to the Ombudsman.” You're still unhappy.</t>
        </is>
      </c>
      <c r="E55" s="23" t="inlineStr">
        <is>
          <t>What do you do?</t>
        </is>
      </c>
      <c r="F55" s="23" t="inlineStr">
        <is>
          <t>Say plainly: “If this isn't resolved, I'll take it to the ombudsman next.”</t>
        </is>
      </c>
      <c r="G55" s="23" t="inlineStr">
        <is>
          <t>Mentioning the ombudsman is a normal, non-confrontational step in the process.</t>
        </is>
      </c>
      <c r="H55" s="23" t="inlineStr">
        <is>
          <t>Avoid mentioning it, since that would seem aggressive.</t>
        </is>
      </c>
      <c r="I55" s="23" t="inlineStr">
        <is>
          <t>It isn't aggressive. The phrase appears on final replies as standard wording.</t>
        </is>
      </c>
      <c r="J55" s="23" t="inlineStr">
        <is>
          <t>Treat the line as a sign your complaint was especially serious.</t>
        </is>
      </c>
      <c r="K55" s="23" t="inlineStr">
        <is>
          <t>It's boilerplate on final replies, whatever the complaint. Treat it as an option, not a signal.</t>
        </is>
      </c>
      <c r="L55" s="23" t="inlineStr">
        <is>
          <t>Approved</t>
        </is>
      </c>
      <c r="M55" s="23" t="inlineStr">
        <is>
          <t>Bulk-approved by founder; item review pending</t>
        </is>
      </c>
      <c r="N55" s="24" t="n"/>
      <c r="O55" s="23" t="n"/>
      <c r="P55" s="25">
        <f>MAX(LEN(G55),LEN(I55),LEN(K55))</f>
        <v/>
      </c>
      <c r="Q55" s="26" t="inlineStr">
        <is>
          <t>This phrase is often boilerplate required by regulation on every final response letter, regardless of how serious the specific complaint actually was.</t>
        </is>
      </c>
      <c r="R55" s="26" t="inlineStr">
        <is>
          <t>Referring to the ombudsman step is a normal, non-confrontational part of the process — it's fine to say plainly: "If this isn't resolved, I'll take it to the ombudsman next."</t>
        </is>
      </c>
    </row>
    <row r="56" ht="75" customHeight="1" s="15">
      <c r="A56" s="23" t="inlineStr">
        <is>
          <t>SC-ED-2-a</t>
        </is>
      </c>
      <c r="B56" s="23" t="inlineStr">
        <is>
          <t>ED-2-dissertation-supervisor-email-formality</t>
        </is>
      </c>
      <c r="C56" s="23" t="inlineStr">
        <is>
          <t>Education</t>
        </is>
      </c>
      <c r="D56" s="23" t="inlineStr">
        <is>
          <t>You sent your dissertation supervisor a detailed question. Two days later you get a reply: two short lines, no greeting, no sign-off.</t>
        </is>
      </c>
      <c r="E56" s="23" t="inlineStr">
        <is>
          <t>How do you read the reply?</t>
        </is>
      </c>
      <c r="F56" s="23" t="inlineStr">
        <is>
          <t>Take it at face value, and send a specific follow-up if you need more detail.</t>
        </is>
      </c>
      <c r="G56" s="23" t="inlineStr">
        <is>
          <t>Brevity reflects time pressure across many students, not a verdict on your question or your work.</t>
        </is>
      </c>
      <c r="H56" s="23" t="inlineStr">
        <is>
          <t>Decide your supervisor isn't taking your project seriously.</t>
        </is>
      </c>
      <c r="I56" s="23" t="inlineStr">
        <is>
          <t>Short, fast replies usually mean a supervisor with many students, not disinterest in you or your project.</t>
        </is>
      </c>
      <c r="J56" s="23" t="inlineStr">
        <is>
          <t>Reply apologising for taking their time, and drop the question.</t>
        </is>
      </c>
      <c r="K56" s="23" t="inlineStr">
        <is>
          <t>There's no need to withdraw it. If you need more, ask a specific follow-up or request a short meeting.</t>
        </is>
      </c>
      <c r="L56" s="23" t="inlineStr">
        <is>
          <t>Approved</t>
        </is>
      </c>
      <c r="M56" s="23" t="inlineStr">
        <is>
          <t>Reviewed and approved by founder</t>
        </is>
      </c>
      <c r="N56" s="24" t="n"/>
      <c r="O56" s="23" t="n"/>
      <c r="P56" s="25">
        <f>MAX(LEN(G56),LEN(I56),LEN(K56))</f>
        <v/>
      </c>
      <c r="Q56" s="26" t="inlineStr">
        <is>
          <t>Brevity reflects time pressure across many students, not a judgment on the importance of the question or the student's work.</t>
        </is>
      </c>
      <c r="R56" s="26" t="inlineStr">
        <is>
          <t>Read brief replies at face value for their content, and if more detail is genuinely needed, ask a specific follow-up or request a short meeting rather than reading disinterest into the length.</t>
        </is>
      </c>
    </row>
    <row r="57" ht="61.5" customHeight="1" s="15">
      <c r="A57" s="23" t="inlineStr">
        <is>
          <t>SC-ED-3-a</t>
        </is>
      </c>
      <c r="B57" s="23" t="inlineStr">
        <is>
          <t>ED-3-extension-request-norm</t>
        </is>
      </c>
      <c r="C57" s="23" t="inlineStr">
        <is>
          <t>Education</t>
        </is>
      </c>
      <c r="D57" s="23" t="inlineStr">
        <is>
          <t>A coursework deadline is three days away and a difficult month has left you far behind. Your university portal has a clearly signposted “extenuating circumstances” form.</t>
        </is>
      </c>
      <c r="E57" s="23" t="inlineStr">
        <is>
          <t>What do you do?</t>
        </is>
      </c>
      <c r="F57" s="23" t="inlineStr">
        <is>
          <t>Submit the form as early as you can, with the evidence it asks for.</t>
        </is>
      </c>
      <c r="G57" s="23" t="inlineStr">
        <is>
          <t>Using the formal process is routine administration, not an admission of failure.</t>
        </is>
      </c>
      <c r="H57" s="23" t="inlineStr">
        <is>
          <t>Push through alone and hand in weaker work rather than ask.</t>
        </is>
      </c>
      <c r="I57" s="23" t="inlineStr">
        <is>
          <t>Embarrassment is the usual reason people skip it, but the process exists for exactly this and is treated as normal.</t>
        </is>
      </c>
      <c r="J57" s="23" t="inlineStr">
        <is>
          <t>Wait until the deadline has passed, then explain what happened.</t>
        </is>
      </c>
      <c r="K57" s="23" t="inlineStr">
        <is>
          <t>The process works best used early, with the required evidence, not after the deadline.</t>
        </is>
      </c>
      <c r="L57" s="23" t="inlineStr">
        <is>
          <t>Approved</t>
        </is>
      </c>
      <c r="M57" s="23" t="inlineStr">
        <is>
          <t>Reviewed and approved by founder</t>
        </is>
      </c>
      <c r="N57" s="24" t="n"/>
      <c r="O57" s="23" t="n"/>
      <c r="P57" s="25">
        <f>MAX(LEN(G57),LEN(I57),LEN(K57))</f>
        <v/>
      </c>
      <c r="Q57" s="26" t="inlineStr">
        <is>
          <t>Using the formal process is treated as routine administration, not as an admission of failure or something to be embarrassed about.</t>
        </is>
      </c>
      <c r="R57" s="26" t="inlineStr">
        <is>
          <t>If genuinely needed, submit the formal extension request as early as possible with whatever evidence is required, rather than trying to manage alone.</t>
        </is>
      </c>
    </row>
    <row r="58" ht="75" customHeight="1" s="15">
      <c r="A58" s="23" t="inlineStr">
        <is>
          <t>SC-ED-14-a</t>
        </is>
      </c>
      <c r="B58" s="23" t="inlineStr">
        <is>
          <t>ED-14-group-project-unequal-contribution-norm</t>
        </is>
      </c>
      <c r="C58" s="23" t="inlineStr">
        <is>
          <t>Education</t>
        </is>
      </c>
      <c r="D58" s="23" t="inlineStr">
        <is>
          <t>In your group project, one member has done almost nothing. The module handbook mentions a peer-assessment form and says to raise concerns with the tutor if informal resolution fails. The deadline is three weeks away.</t>
        </is>
      </c>
      <c r="E58" s="23" t="inlineStr">
        <is>
          <t>What do you do?</t>
        </is>
      </c>
      <c r="F58" s="23" t="inlineStr">
        <is>
          <t>Raise it with the tutor, factually and with evidence, well before the deadline.</t>
        </is>
      </c>
      <c r="G58" s="23" t="inlineStr">
        <is>
          <t>Universities expect this to happen and plan for it. Raising it factually isn't seen as complaining.</t>
        </is>
      </c>
      <c r="H58" s="23" t="inlineStr">
        <is>
          <t>Say nothing so you don't seem difficult, and accept the shared grade.</t>
        </is>
      </c>
      <c r="I58" s="23" t="inlineStr">
        <is>
          <t>Staying silent is how a shared grade ends up not reflecting your own effort.</t>
        </is>
      </c>
      <c r="J58" s="23" t="inlineStr">
        <is>
          <t>Wait until the work is graded, then complain about the unequal effort.</t>
        </is>
      </c>
      <c r="K58" s="23" t="inlineStr">
        <is>
          <t>Too late by then. Raise it well before the final deadline, not after grading.</t>
        </is>
      </c>
      <c r="L58" s="23" t="inlineStr">
        <is>
          <t>Approved</t>
        </is>
      </c>
      <c r="M58" s="23" t="inlineStr">
        <is>
          <t>Reviewed and approved by founder</t>
        </is>
      </c>
      <c r="N58" s="24" t="n"/>
      <c r="O58" s="23" t="n"/>
      <c r="P58" s="25">
        <f>MAX(LEN(G58),LEN(I58),LEN(K58))</f>
        <v/>
      </c>
      <c r="Q58" s="26" t="inlineStr">
        <is>
          <t>Universities generally expect and plan for this kind of issue to arise and be raised formally — it isn't treated as a personal or social failure to do so.</t>
        </is>
      </c>
      <c r="R58" s="26" t="inlineStr">
        <is>
          <t>Raise unequal contribution with the tutor directly and factually, ideally with some documentation (meeting notes, message logs), well before the final deadline rather than after grading.</t>
        </is>
      </c>
    </row>
    <row r="59" ht="61.5" customHeight="1" s="15">
      <c r="A59" s="23" t="inlineStr">
        <is>
          <t>SC-ED-1-a</t>
        </is>
      </c>
      <c r="B59" s="23" t="inlineStr">
        <is>
          <t>ED-1-seminar-participation-expectation</t>
        </is>
      </c>
      <c r="C59" s="23" t="inlineStr">
        <is>
          <t>Education</t>
        </is>
      </c>
      <c r="D59" s="23" t="inlineStr">
        <is>
          <t>In a seminar the tutor asks the room an open question and waits. Nobody speaks, and you're waiting politely to be invited.</t>
        </is>
      </c>
      <c r="E59" s="23" t="inlineStr">
        <is>
          <t>What do you do?</t>
        </is>
      </c>
      <c r="F59" s="23" t="inlineStr">
        <is>
          <t>Prepare one or two points beforehand, and volunteer them early.</t>
        </is>
      </c>
      <c r="G59" s="23" t="inlineStr">
        <is>
          <t>Consistent silence reads as not having done the reading, not as politeness.</t>
        </is>
      </c>
      <c r="H59" s="23" t="inlineStr">
        <is>
          <t>Keep waiting to be invited to speak.</t>
        </is>
      </c>
      <c r="I59" s="23" t="inlineStr">
        <is>
          <t>In seminars, contributing is expected, and silence is read very differently here.</t>
        </is>
      </c>
      <c r="J59" s="23" t="inlineStr">
        <is>
          <t>Speak only if the tutor calls on you by name.</t>
        </is>
      </c>
      <c r="K59" s="23" t="inlineStr">
        <is>
          <t>By then it's been noticed that you didn't volunteer. Contributing early, even briefly, reads better.</t>
        </is>
      </c>
      <c r="L59" s="23" t="inlineStr">
        <is>
          <t>Approved</t>
        </is>
      </c>
      <c r="M59" s="23" t="inlineStr">
        <is>
          <t>Bulk-approved by founder; item review pending</t>
        </is>
      </c>
      <c r="N59" s="24" t="n"/>
      <c r="O59" s="23" t="n"/>
      <c r="P59" s="25">
        <f>MAX(LEN(G59),LEN(I59),LEN(K59))</f>
        <v/>
      </c>
      <c r="Q59" s="26" t="inlineStr">
        <is>
          <t>Consistent silence is interpreted as not having done the reading or not engaging with the material, not as a considerate or humble communication style.</t>
        </is>
      </c>
      <c r="R59" s="26" t="inlineStr">
        <is>
          <t>Prepare one or two specific points or questions before each seminar and volunteer them early, since contributing even briefly is read very differently from staying silent.</t>
        </is>
      </c>
    </row>
    <row r="60" ht="61.5" customHeight="1" s="15">
      <c r="A60" s="23" t="inlineStr">
        <is>
          <t>SC-ED-4-a</t>
        </is>
      </c>
      <c r="B60" s="23" t="inlineStr">
        <is>
          <t>ED-4-plagiarism-citation-strictness</t>
        </is>
      </c>
      <c r="C60" s="23" t="inlineStr">
        <is>
          <t>Education</t>
        </is>
      </c>
      <c r="D60" s="23" t="inlineStr">
        <is>
          <t>Your essay comes back with a high similarity score, and a letter invites you to an academic misconduct meeting. You paraphrased sources without citing them.</t>
        </is>
      </c>
      <c r="E60" s="23" t="inlineStr">
        <is>
          <t>What's the lesson?</t>
        </is>
      </c>
      <c r="F60" s="23" t="inlineStr">
        <is>
          <t>Learn the required citation style early, and cite paraphrased ideas as well as quotes.</t>
        </is>
      </c>
      <c r="G60" s="23" t="inlineStr">
        <is>
          <t>Automated checks don't distinguish intent. Unintentional poor citation can start the same process.</t>
        </is>
      </c>
      <c r="H60" s="23" t="inlineStr">
        <is>
          <t>Only direct quotes need citing.</t>
        </is>
      </c>
      <c r="I60" s="23" t="inlineStr">
        <is>
          <t>Paraphrased ideas need citing too, or they can still trigger the checks.</t>
        </is>
      </c>
      <c r="J60" s="23" t="inlineStr">
        <is>
          <t>Rely on explaining your intentions if it comes up.</t>
        </is>
      </c>
      <c r="K60" s="23" t="inlineStr">
        <is>
          <t>Intent isn't distinguished at the automated stage, so the safe route is to cite properly from the start.</t>
        </is>
      </c>
      <c r="L60" s="23" t="inlineStr">
        <is>
          <t>Approved</t>
        </is>
      </c>
      <c r="M60" s="23" t="inlineStr">
        <is>
          <t>Bulk-approved by founder; item review pending</t>
        </is>
      </c>
      <c r="N60" s="24" t="n"/>
      <c r="O60" s="23" t="n"/>
      <c r="P60" s="25">
        <f>MAX(LEN(G60),LEN(I60),LEN(K60))</f>
        <v/>
      </c>
      <c r="Q60" s="26" t="inlineStr">
        <is>
          <t>The system doesn't generally distinguish intent at the automated-detection stage — unintentional poor citation practice can still trigger the same formal process as deliberate copying.</t>
        </is>
      </c>
      <c r="R60" s="26" t="inlineStr">
        <is>
          <t>Learn the specific citation style required (e.g. Harvard, APA) early and cite even paraphrased ideas, not just direct quotes, to avoid triggering the automated similarity checks.</t>
        </is>
      </c>
    </row>
    <row r="61" ht="61.5" customHeight="1" s="15">
      <c r="A61" s="23" t="inlineStr">
        <is>
          <t>SC-ED-5-a</t>
        </is>
      </c>
      <c r="B61" s="23" t="inlineStr">
        <is>
          <t>ED-5-personal-tutor-checkin-brevity</t>
        </is>
      </c>
      <c r="C61" s="23" t="inlineStr">
        <is>
          <t>Education</t>
        </is>
      </c>
      <c r="D61" s="23" t="inlineStr">
        <is>
          <t>Your personal tutor has a scheduled 15-minute check-in with standard questions: “How's the course going, any concerns?” You do have a real concern.</t>
        </is>
      </c>
      <c r="E61" s="23" t="inlineStr">
        <is>
          <t>What do you do?</t>
        </is>
      </c>
      <c r="F61" s="23" t="inlineStr">
        <is>
          <t>Say so directly: “There's actually something I wanted to flag.”</t>
        </is>
      </c>
      <c r="G61" s="23" t="inlineStr">
        <is>
          <t>Tutors expect this, and the meeting will extend if needed.</t>
        </is>
      </c>
      <c r="H61" s="23" t="inlineStr">
        <is>
          <t>Keep to the standard answers because the slot is short.</t>
        </is>
      </c>
      <c r="I61" s="23" t="inlineStr">
        <is>
          <t>The brevity is structural, not a sign the tutor can't help with something specific.</t>
        </is>
      </c>
      <c r="J61" s="23" t="inlineStr">
        <is>
          <t>Say nothing now and hope to book a separate meeting later.</t>
        </is>
      </c>
      <c r="K61" s="23" t="inlineStr">
        <is>
          <t>A brief check-in doesn't mean there's no time for a concern. Raise it now.</t>
        </is>
      </c>
      <c r="L61" s="23" t="inlineStr">
        <is>
          <t>Approved</t>
        </is>
      </c>
      <c r="M61" s="23" t="inlineStr">
        <is>
          <t>Bulk-approved by founder; item review pending</t>
        </is>
      </c>
      <c r="N61" s="24" t="n"/>
      <c r="O61" s="23" t="n"/>
      <c r="P61" s="25">
        <f>MAX(LEN(G61),LEN(I61),LEN(K61))</f>
        <v/>
      </c>
      <c r="Q61" s="26" t="inlineStr">
        <is>
          <t>The brevity is a structural feature of how these meetings are run across many students, not a signal that the tutor isn't available to help with something specific.</t>
        </is>
      </c>
      <c r="R61" s="26" t="inlineStr">
        <is>
          <t>Raise a specific concern directly even in a brief check-in: "There's actually something I wanted to flag" — tutors expect this and it will extend the meeting if needed.</t>
        </is>
      </c>
    </row>
    <row r="62" ht="142.5" customHeight="1" s="15">
      <c r="A62" s="23" t="inlineStr">
        <is>
          <t>SC-ED-11-a</t>
        </is>
      </c>
      <c r="B62" s="23" t="inlineStr">
        <is>
          <t>ED-11-sen-support-request-process</t>
        </is>
      </c>
      <c r="C62" s="23" t="inlineStr">
        <is>
          <t>Education</t>
        </is>
      </c>
      <c r="D62" s="23" t="inlineStr">
        <is>
          <t>You raise a concern about your child's reading difficulties. The school replies with information about a formal assessment pathway, not immediate help.</t>
        </is>
      </c>
      <c r="E62" s="23" t="inlineStr">
        <is>
          <t>What do you do?</t>
        </is>
      </c>
      <c r="F62" s="23" t="inlineStr">
        <is>
          <t>Start the formal request early, and ask what interim support is available meanwhile.</t>
        </is>
      </c>
      <c r="G62" s="23" t="inlineStr">
        <is>
          <t>The formal route is expected and can take time, so starting early and asking about interim support helps.</t>
        </is>
      </c>
      <c r="H62" s="23" t="inlineStr">
        <is>
          <t>Take it as a refusal to help.</t>
        </is>
      </c>
      <c r="I62" s="23" t="inlineStr">
        <is>
          <t>It's the standard route, not a refusal. Ask about interim support.</t>
        </is>
      </c>
      <c r="J62" s="23" t="inlineStr">
        <is>
          <t>Wait to see if things improve before starting it.</t>
        </is>
      </c>
      <c r="K62" s="23" t="inlineStr">
        <is>
          <t>The assessment can take time, so starting early matters.</t>
        </is>
      </c>
      <c r="L62" s="23" t="inlineStr">
        <is>
          <t>Approved</t>
        </is>
      </c>
      <c r="M62" s="23" t="inlineStr">
        <is>
          <t>Bulk-approved by founder; item review pending</t>
        </is>
      </c>
      <c r="N62" s="24" t="n"/>
      <c r="O62" s="23" t="n"/>
      <c r="P62" s="25">
        <f>MAX(LEN(G62),LEN(I62),LEN(K62))</f>
        <v/>
      </c>
      <c r="Q62" s="26" t="inlineStr">
        <is>
          <t>Universities and schools generally expect and plan for this — a school's SENCo submits a request, the local authority must respond within 6 weeks and reach a decision within 16 weeks, and a formal Education, Health and Care Plan (EHCP) is only issued if the assessment supports it; note that England's SEND system is under active reform as of 2026, with a February 2026 white paper proposing EHCPs be reserved for the most complex needs going forward.</t>
        </is>
      </c>
      <c r="R62" s="26" t="inlineStr">
        <is>
          <t>Start the formal assessment request as early as possible given it can take time, and ask directly what interim support, if any, is available while the assessment is pending.</t>
        </is>
      </c>
    </row>
    <row r="63" ht="61.5" customHeight="1" s="15">
      <c r="A63" s="23" t="inlineStr">
        <is>
          <t>SC-ED-12-a</t>
        </is>
      </c>
      <c r="B63" s="23" t="inlineStr">
        <is>
          <t>ED-12-headteacher-escalation-formality</t>
        </is>
      </c>
      <c r="C63" s="23" t="inlineStr">
        <is>
          <t>Education</t>
        </is>
      </c>
      <c r="D63" s="23" t="inlineStr">
        <is>
          <t>You have an unresolved concern at your child's school. The website lists a complaints procedure: class teacher, head of year, headteacher, governors, each stage in writing.</t>
        </is>
      </c>
      <c r="E63" s="23" t="inlineStr">
        <is>
          <t>What do you do?</t>
        </is>
      </c>
      <c r="F63" s="23" t="inlineStr">
        <is>
          <t>Follow the stages in order, in writing at each stage.</t>
        </is>
      </c>
      <c r="G63" s="23" t="inlineStr">
        <is>
          <t>It's the school's standard escalation process, not a confrontation.</t>
        </is>
      </c>
      <c r="H63" s="23" t="inlineStr">
        <is>
          <t>Go straight to the headteacher.</t>
        </is>
      </c>
      <c r="I63" s="23" t="inlineStr">
        <is>
          <t>Skipping stages typically gets you sent back to the start.</t>
        </is>
      </c>
      <c r="J63" s="23" t="inlineStr">
        <is>
          <t>Raise it only verbally, to keep things friendly.</t>
        </is>
      </c>
      <c r="K63" s="23" t="inlineStr">
        <is>
          <t>The procedure expects a written record at each stage.</t>
        </is>
      </c>
      <c r="L63" s="23" t="inlineStr">
        <is>
          <t>Approved</t>
        </is>
      </c>
      <c r="M63" s="23" t="inlineStr">
        <is>
          <t>Bulk-approved by founder; item review pending</t>
        </is>
      </c>
      <c r="N63" s="27" t="inlineStr">
        <is>
          <t>Yes</t>
        </is>
      </c>
      <c r="O63" s="23" t="n"/>
      <c r="P63" s="25">
        <f>MAX(LEN(G63),LEN(I63),LEN(K63))</f>
        <v/>
      </c>
      <c r="Q63" s="26" t="inlineStr">
        <is>
          <t>This structured escalation is the school's standard, expected process for any unresolved concern, not an indication that going further is confrontational or unusual.</t>
        </is>
      </c>
      <c r="R63" s="26" t="inlineStr">
        <is>
          <t>Follow the published complaints procedure in order and in writing at each stage, since skipping stages typically means being redirected back to the start.</t>
        </is>
      </c>
    </row>
    <row r="64" ht="61.5" customHeight="1" s="15">
      <c r="A64" s="23" t="inlineStr">
        <is>
          <t>SC-ED-13-a</t>
        </is>
      </c>
      <c r="B64" s="23" t="inlineStr">
        <is>
          <t>ED-13-freshers-week-social-pressure</t>
        </is>
      </c>
      <c r="C64" s="23" t="inlineStr">
        <is>
          <t>Education</t>
        </is>
      </c>
      <c r="D64" s="23" t="inlineStr">
        <is>
          <t>Your flatmates keep saying, “Everyone's going” about every freshers' week event. You're tired and unsure.</t>
        </is>
      </c>
      <c r="E64" s="23" t="inlineStr">
        <is>
          <t>What do you do?</t>
        </is>
      </c>
      <c r="F64" s="23" t="inlineStr">
        <is>
          <t>Pick a few events you like, and skip the rest.</t>
        </is>
      </c>
      <c r="G64" s="23" t="inlineStr">
        <is>
          <t>“Everyone's going” is enthusiastic marketing, not a real obligation. Friend groups form over the following weeks.</t>
        </is>
      </c>
      <c r="H64" s="23" t="inlineStr">
        <is>
          <t>Go to every event, so you aren't left out.</t>
        </is>
      </c>
      <c r="I64" s="23" t="inlineStr">
        <is>
          <t>Nobody expects it. Most students pick and choose.</t>
        </is>
      </c>
      <c r="J64" s="23" t="inlineStr">
        <is>
          <t>Skip all of them, since the groups are decided in week one.</t>
        </is>
      </c>
      <c r="K64" s="23" t="inlineStr">
        <is>
          <t>A few you enjoy are still worth it, and groups form over the following weeks, not just in week one.</t>
        </is>
      </c>
      <c r="L64" s="23" t="inlineStr">
        <is>
          <t>Approved</t>
        </is>
      </c>
      <c r="M64" s="23" t="inlineStr">
        <is>
          <t>Bulk-approved by founder; item review pending</t>
        </is>
      </c>
      <c r="N64" s="24" t="n"/>
      <c r="O64" s="23" t="n"/>
      <c r="P64" s="25">
        <f>MAX(LEN(G64),LEN(I64),LEN(K64))</f>
        <v/>
      </c>
      <c r="Q64" s="26" t="inlineStr">
        <is>
          <t>The framing is enthusiastic marketing language for the events themselves, not an accurate description of real social obligation or expectation.</t>
        </is>
      </c>
      <c r="R64" s="26" t="inlineStr">
        <is>
          <t>Pick a few events that genuinely appeal and skip the rest without concern — most students do the same, and social groups form over the following weeks, not solely in freshers' week.</t>
        </is>
      </c>
    </row>
    <row r="65" ht="61.5" customHeight="1" s="15">
      <c r="A65" s="23" t="inlineStr">
        <is>
          <t>SC-ED-16-a</t>
        </is>
      </c>
      <c r="B65" s="23" t="inlineStr">
        <is>
          <t>ED-16-feedback-on-essay-terse-comments</t>
        </is>
      </c>
      <c r="C65" s="23" t="inlineStr">
        <is>
          <t>Education</t>
        </is>
      </c>
      <c r="D65" s="23" t="inlineStr">
        <is>
          <t>Your essay comes back with a few brief marginal comments and a short summary. You'd expected paragraphs of feedback.</t>
        </is>
      </c>
      <c r="E65" s="23" t="inlineStr">
        <is>
          <t>What do you do?</t>
        </is>
      </c>
      <c r="F65" s="23" t="inlineStr">
        <is>
          <t>Ask about a specific unclear comment: “Could you expand on what you meant by this?”</t>
        </is>
      </c>
      <c r="G65" s="23" t="inlineStr">
        <is>
          <t>Brevity reflects marking volume, not that your work wasn't read or valued.</t>
        </is>
      </c>
      <c r="H65" s="23" t="inlineStr">
        <is>
          <t>Conclude the marker didn't read it properly.</t>
        </is>
      </c>
      <c r="I65" s="23" t="inlineStr">
        <is>
          <t>Short comments are standard when a lot of work needs marking.</t>
        </is>
      </c>
      <c r="J65" s="23" t="inlineStr">
        <is>
          <t>Ignore the comments, since they're so short.</t>
        </is>
      </c>
      <c r="K65" s="23" t="inlineStr">
        <is>
          <t>They're brief but useful, and a specific follow-up question gets you more.</t>
        </is>
      </c>
      <c r="L65" s="23" t="inlineStr">
        <is>
          <t>Approved</t>
        </is>
      </c>
      <c r="M65" s="23" t="inlineStr">
        <is>
          <t>Bulk-approved by founder; item review pending</t>
        </is>
      </c>
      <c r="N65" s="24" t="n"/>
      <c r="O65" s="23" t="n"/>
      <c r="P65" s="25">
        <f>MAX(LEN(G65),LEN(I65),LEN(K65))</f>
        <v/>
      </c>
      <c r="Q65" s="26" t="inlineStr">
        <is>
          <t>The brevity is a standard grading practice for managing a large volume of marking, not a sign the work wasn't read carefully or valued.</t>
        </is>
      </c>
      <c r="R65" s="26" t="inlineStr">
        <is>
          <t>If a brief comment is unclear, follow up directly and specifically: "Could you expand on what you meant by 'strengthen this section' in the third paragraph?"</t>
        </is>
      </c>
    </row>
    <row r="66" ht="75" customHeight="1" s="15">
      <c r="A66" s="23" t="inlineStr">
        <is>
          <t>SC-DR-1-a</t>
        </is>
      </c>
      <c r="B66" s="23" t="inlineStr">
        <is>
          <t>DR-1-texting-pace-not-urgency</t>
        </is>
      </c>
      <c r="C66" s="23" t="inlineStr">
        <is>
          <t>Dating &amp; relationships</t>
        </is>
      </c>
      <c r="D66" s="23" t="inlineStr">
        <is>
          <t>You had a good first date. You text the next morning and they reply that evening, with no apology and no fuss. It keeps happening.</t>
        </is>
      </c>
      <c r="E66" s="23" t="inlineStr">
        <is>
          <t>How do you read the slow replies?</t>
        </is>
      </c>
      <c r="F66" s="23" t="inlineStr">
        <is>
          <t>Judge interest by what the messages say and how consistent they are, and ask lightly if you're unsure.</t>
        </is>
      </c>
      <c r="G66" s="23" t="inlineStr">
        <is>
          <t>Reply speed isn't treated as a strong signal of interest here. A relaxed pace is normal.</t>
        </is>
      </c>
      <c r="H66" s="23" t="inlineStr">
        <is>
          <t>Assume they've lost interest, and stop replying yourself.</t>
        </is>
      </c>
      <c r="I66" s="23" t="inlineStr">
        <is>
          <t>That's the common mistake: the other person is often just not in the habit of texting quickly.</t>
        </is>
      </c>
      <c r="J66" s="23" t="inlineStr">
        <is>
          <t>Time every reply and read the gaps as signals.</t>
        </is>
      </c>
      <c r="K66" s="23" t="inlineStr">
        <is>
          <t>Busyness and a relaxed pace are both normal, so the gaps alone tell you very little.</t>
        </is>
      </c>
      <c r="L66" s="23" t="inlineStr">
        <is>
          <t>Approved</t>
        </is>
      </c>
      <c r="M66" s="23" t="inlineStr">
        <is>
          <t>Reviewed and approved by founder</t>
        </is>
      </c>
      <c r="N66" s="24" t="n"/>
      <c r="O66" s="23" t="n"/>
      <c r="P66" s="25">
        <f>MAX(LEN(G66),LEN(I66),LEN(K66))</f>
        <v/>
      </c>
      <c r="Q66" s="26" t="inlineStr">
        <is>
          <t>Response speed is not treated as a strong signal of interest the way it might be in some other dating cultures — busyness and a more relaxed pace are both genuinely normal.</t>
        </is>
      </c>
      <c r="R66" s="26" t="inlineStr">
        <is>
          <t>Judge interest by the content and consistency of messages over time rather than reply speed alone, and it's fine to ask directly if genuinely unsure: "Just checking we're both still keen on this!"</t>
        </is>
      </c>
    </row>
    <row r="67" ht="61.5" customHeight="1" s="15">
      <c r="A67" s="23" t="inlineStr">
        <is>
          <t>SC-DR-2-a</t>
        </is>
      </c>
      <c r="B67" s="23" t="inlineStr">
        <is>
          <t>DR-2-lets-see-where-this-goes-ambiguity</t>
        </is>
      </c>
      <c r="C67" s="23" t="inlineStr">
        <is>
          <t>Dating &amp; relationships</t>
        </is>
      </c>
      <c r="D67" s="23" t="inlineStr">
        <is>
          <t>A few dates in, you ask where things stand. They smile and say: “Let's just see where this goes.”</t>
        </is>
      </c>
      <c r="E67" s="23" t="inlineStr">
        <is>
          <t>What do you do with that?</t>
        </is>
      </c>
      <c r="F67" s="23" t="inlineStr">
        <is>
          <t>Take it as genuine openness, and if you want clarity, ask a more specific question later.</t>
        </is>
      </c>
      <c r="G67" s="23" t="inlineStr">
        <is>
          <t>It usually reflects a real preference for not over-defining things early, not hidden reluctance about you.</t>
        </is>
      </c>
      <c r="H67" s="23" t="inlineStr">
        <is>
          <t>Treat it as a soft rejection and back away.</t>
        </is>
      </c>
      <c r="I67" s="23" t="inlineStr">
        <is>
          <t>That's the misreading. In this context it's meant literally, as openness without a label yet.</t>
        </is>
      </c>
      <c r="J67" s="23" t="inlineStr">
        <is>
          <t>Push for a definite answer on the spot.</t>
        </is>
      </c>
      <c r="K67" s="23" t="inlineStr">
        <is>
          <t>The phrase asks for room. If clarity matters, ask something more specific later, such as how they feel about where things are.</t>
        </is>
      </c>
      <c r="L67" s="23" t="inlineStr">
        <is>
          <t>Approved</t>
        </is>
      </c>
      <c r="M67" s="23" t="inlineStr">
        <is>
          <t>Reviewed and approved by founder</t>
        </is>
      </c>
      <c r="N67" s="24" t="n"/>
      <c r="O67" s="23" t="n"/>
      <c r="P67" s="25">
        <f>MAX(LEN(G67),LEN(I67),LEN(K67))</f>
        <v/>
      </c>
      <c r="Q67" s="26" t="inlineStr">
        <is>
          <t>This phrase usually reflects a real preference for not over-defining things early on, rather than a hidden reluctance specifically about this person.</t>
        </is>
      </c>
      <c r="R67" s="26" t="inlineStr">
        <is>
          <t>If clarity matters, ask a more specific question later on rather than reading a fixed meaning into the phrase itself: "How are you feeling about where things are at the moment?"</t>
        </is>
      </c>
    </row>
    <row r="68" ht="61.5" customHeight="1" s="15">
      <c r="A68" s="23" t="inlineStr">
        <is>
          <t>SC-DR-11-a</t>
        </is>
      </c>
      <c r="B68" s="23" t="inlineStr">
        <is>
          <t>DR-11-declining-a-second-date-vague-language</t>
        </is>
      </c>
      <c r="C68" s="23" t="inlineStr">
        <is>
          <t>Dating &amp; relationships</t>
        </is>
      </c>
      <c r="D68" s="23" t="inlineStr">
        <is>
          <t>After a first date they message: “Really enjoyed meeting you, let's stay in touch!” Neither of you has suggested a second date.</t>
        </is>
      </c>
      <c r="E68" s="23" t="inlineStr">
        <is>
          <t>You'd like to see them again. What do you do?</t>
        </is>
      </c>
      <c r="F68" s="23" t="inlineStr">
        <is>
          <t>Propose something specific: “I'd love to see you again. Are you free next week sometime?”</t>
        </is>
      </c>
      <c r="G68" s="23" t="inlineStr">
        <is>
          <t>With no specific plan proposed, this phrase usually works as a gentle decline, so a concrete invitation is how you show interest.</t>
        </is>
      </c>
      <c r="H68" s="23" t="inlineStr">
        <is>
          <t>Reply “Sounds good, let's stay in touch!” and leave it open.</t>
        </is>
      </c>
      <c r="I68" s="23" t="inlineStr">
        <is>
          <t>Echoing it leaves nothing arranged. The phrase is usually a polite way of ending things, not an invitation.</t>
        </is>
      </c>
      <c r="J68" s="23" t="inlineStr">
        <is>
          <t>Wait a few weeks for them to suggest a second date.</t>
        </is>
      </c>
      <c r="K68" s="23" t="inlineStr">
        <is>
          <t>Waiting is the common mistake. The phrase is usually a gentle decline, not a promise to arrange something later.</t>
        </is>
      </c>
      <c r="L68" s="23" t="inlineStr">
        <is>
          <t>Approved</t>
        </is>
      </c>
      <c r="M68" s="23" t="inlineStr">
        <is>
          <t>Reviewed and approved by founder</t>
        </is>
      </c>
      <c r="N68" s="24" t="n"/>
      <c r="O68" s="23" t="n"/>
      <c r="P68" s="25">
        <f>MAX(LEN(G68),LEN(I68),LEN(K68))</f>
        <v/>
      </c>
      <c r="Q68" s="26" t="inlineStr">
        <is>
          <t>Without a specific next date proposed, this phrase usually functions as a gentle decline rather than a genuine open-ended invitation to arrange something later.</t>
        </is>
      </c>
      <c r="R68" s="26" t="inlineStr">
        <is>
          <t>If genuinely interested in a second date, propose something specific rather than waiting: "I'd love to see you again — are you free next week sometime?"</t>
        </is>
      </c>
    </row>
    <row r="69" ht="61.5" customHeight="1" s="15">
      <c r="A69" s="23" t="inlineStr">
        <is>
          <t>SC-DR-6-a</t>
        </is>
      </c>
      <c r="B69" s="23" t="inlineStr">
        <is>
          <t>DR-6-exclusivity-conversation-directness-expected</t>
        </is>
      </c>
      <c r="C69" s="23" t="inlineStr">
        <is>
          <t>Dating &amp; relationships</t>
        </is>
      </c>
      <c r="D69" s="23" t="inlineStr">
        <is>
          <t>You've been on several good dates. Nobody has talked about seeing other people.</t>
        </is>
      </c>
      <c r="E69" s="23" t="inlineStr">
        <is>
          <t>What do you do?</t>
        </is>
      </c>
      <c r="F69" s="23" t="inlineStr">
        <is>
          <t>Raise it directly: “I'd like to talk about whether we're seeing other people.”</t>
        </is>
      </c>
      <c r="G69" s="23" t="inlineStr">
        <is>
          <t>Without an explicit conversation, exclusivity can't safely be assumed, however it feels.</t>
        </is>
      </c>
      <c r="H69" s="23" t="inlineStr">
        <is>
          <t>Assume you're exclusive, since it feels that way.</t>
        </is>
      </c>
      <c r="I69" s="23" t="inlineStr">
        <is>
          <t>Neither person can safely assume it until it's discussed.</t>
        </is>
      </c>
      <c r="J69" s="23" t="inlineStr">
        <is>
          <t>Wait for them to bring it up.</t>
        </is>
      </c>
      <c r="K69" s="23" t="inlineStr">
        <is>
          <t>It may not come up. Raising it directly once it feels relevant is the usual way.</t>
        </is>
      </c>
      <c r="L69" s="23" t="inlineStr">
        <is>
          <t>Approved</t>
        </is>
      </c>
      <c r="M69" s="23" t="inlineStr">
        <is>
          <t>Bulk-approved by founder; item review pending</t>
        </is>
      </c>
      <c r="N69" s="24" t="n"/>
      <c r="O69" s="23" t="n"/>
      <c r="P69" s="25">
        <f>MAX(LEN(G69),LEN(I69),LEN(K69))</f>
        <v/>
      </c>
      <c r="Q69" s="26" t="inlineStr">
        <is>
          <t>Without an explicit conversation, exclusivity is not safely assumed by either person, regardless of how the relationship might feel emotionally.</t>
        </is>
      </c>
      <c r="R69" s="26" t="inlineStr">
        <is>
          <t>Raise the exclusivity question directly once it feels relevant, rather than assuming: "I'd like to talk about whether we're seeing other people or not."</t>
        </is>
      </c>
    </row>
    <row r="70" ht="75" customHeight="1" s="15">
      <c r="A70" s="23" t="inlineStr">
        <is>
          <t>SC-DR-7-a</t>
        </is>
      </c>
      <c r="B70" s="23" t="inlineStr">
        <is>
          <t>DR-7-ghosting-normalized-explanation</t>
        </is>
      </c>
      <c r="C70" s="23" t="inlineStr">
        <is>
          <t>Dating &amp; relationships</t>
        </is>
      </c>
      <c r="D70" s="23" t="inlineStr">
        <is>
          <t>After a few good dates their messages stop. There's no explanation, and a week goes by.</t>
        </is>
      </c>
      <c r="E70" s="23" t="inlineStr">
        <is>
          <t>What do you do?</t>
        </is>
      </c>
      <c r="F70" s="23" t="inlineStr">
        <is>
          <t>Treat it as closed, and move on without chasing an explanation.</t>
        </is>
      </c>
      <c r="G70" s="23" t="inlineStr">
        <is>
          <t>It's usually more about avoiding a difficult conversation than a verdict on you.</t>
        </is>
      </c>
      <c r="H70" s="23" t="inlineStr">
        <is>
          <t>Keep messaging until they explain.</t>
        </is>
      </c>
      <c r="I70" s="23" t="inlineStr">
        <is>
          <t>After about a week with no reply, chasing for closure rarely helps. It's fine to move on.</t>
        </is>
      </c>
      <c r="J70" s="23" t="inlineStr">
        <is>
          <t>Decide you must have done something wrong.</t>
        </is>
      </c>
      <c r="K70" s="23" t="inlineStr">
        <is>
          <t>It's frequently about the other person's avoidance, not a specific judgement about you.</t>
        </is>
      </c>
      <c r="L70" s="23" t="inlineStr">
        <is>
          <t>Approved</t>
        </is>
      </c>
      <c r="M70" s="23" t="inlineStr">
        <is>
          <t>Bulk-approved by founder; item review pending</t>
        </is>
      </c>
      <c r="N70" s="24" t="n"/>
      <c r="O70" s="23" t="n"/>
      <c r="P70" s="25">
        <f>MAX(LEN(G70),LEN(I70),LEN(K70))</f>
        <v/>
      </c>
      <c r="Q70" s="26" t="inlineStr">
        <is>
          <t>While painful, this pattern is frequently more about the other person's avoidance of a difficult conversation than a specific, considered judgment about the recipient.</t>
        </is>
      </c>
      <c r="R70" s="26" t="inlineStr">
        <is>
          <t>After a reasonable window with no response (roughly a week for an active connection), it's fine to treat it as a closed situation and move on, rather than continuing to seek an explanation.</t>
        </is>
      </c>
    </row>
    <row r="71" ht="75" customHeight="1" s="15">
      <c r="A71" s="23" t="inlineStr">
        <is>
          <t>SC-DR-8-a</t>
        </is>
      </c>
      <c r="B71" s="23" t="inlineStr">
        <is>
          <t>DR-8-breakup-softening-language</t>
        </is>
      </c>
      <c r="C71" s="23" t="inlineStr">
        <is>
          <t>Dating &amp; relationships</t>
        </is>
      </c>
      <c r="D71" s="23" t="inlineStr">
        <is>
          <t>They end things with: “It's not you, it's me. I just need to focus on myself.” You'd like more detail.</t>
        </is>
      </c>
      <c r="E71" s="23" t="inlineStr">
        <is>
          <t>What do you do?</t>
        </is>
      </c>
      <c r="F71" s="23" t="inlineStr">
        <is>
          <t>Accept it, and ask only practical questions, such as logistics or mutual friends.</t>
        </is>
      </c>
      <c r="G71" s="23" t="inlineStr">
        <is>
          <t>It's a convention for ending things with minimal conflict. Pressing for more usually doesn't help.</t>
        </is>
      </c>
      <c r="H71" s="23" t="inlineStr">
        <is>
          <t>Press for a fuller, more literal explanation.</t>
        </is>
      </c>
      <c r="I71" s="23" t="inlineStr">
        <is>
          <t>Pushing for a complete emotional account usually isn't productive.</t>
        </is>
      </c>
      <c r="J71" s="23" t="inlineStr">
        <is>
          <t>Take the words literally and ask how you can help them.</t>
        </is>
      </c>
      <c r="K71" s="23" t="inlineStr">
        <is>
          <t>The phrase isn't meant literally. It's a softened way to end things.</t>
        </is>
      </c>
      <c r="L71" s="23" t="inlineStr">
        <is>
          <t>Approved</t>
        </is>
      </c>
      <c r="M71" s="23" t="inlineStr">
        <is>
          <t>Bulk-approved by founder; item review pending</t>
        </is>
      </c>
      <c r="N71" s="24" t="n"/>
      <c r="O71" s="23" t="n"/>
      <c r="P71" s="25">
        <f>MAX(LEN(G71),LEN(I71),LEN(K71))</f>
        <v/>
      </c>
      <c r="Q71" s="26" t="inlineStr">
        <is>
          <t>These phrases are a social convention for ending things with minimal conflict, and pressing for a more literal or complete explanation usually isn't productive.</t>
        </is>
      </c>
      <c r="R71" s="26" t="inlineStr">
        <is>
          <t>It's usually more constructive to accept a softened explanation and ask only genuinely practical questions (logistics, mutual friends) rather than pushing for a fuller emotional account.</t>
        </is>
      </c>
    </row>
    <row r="72" ht="61.5" customHeight="1" s="15">
      <c r="A72" s="23" t="inlineStr">
        <is>
          <t>SC-DR-10-a</t>
        </is>
      </c>
      <c r="B72" s="23" t="inlineStr">
        <is>
          <t>DR-10-dating-app-messaging-norm</t>
        </is>
      </c>
      <c r="C72" s="23" t="inlineStr">
        <is>
          <t>Dating &amp; relationships</t>
        </is>
      </c>
      <c r="D72" s="23" t="inlineStr">
        <is>
          <t>On a dating app a match opens with a short message: “Loved the photo from Cornwall!” You'd expected something longer.</t>
        </is>
      </c>
      <c r="E72" s="23" t="inlineStr">
        <is>
          <t>How do you read it?</t>
        </is>
      </c>
      <c r="F72" s="23" t="inlineStr">
        <is>
          <t>Judge by how the conversation develops, not by the first message's length.</t>
        </is>
      </c>
      <c r="G72" s="23" t="inlineStr">
        <is>
          <t>Length and effort of a first message aren't strongly linked to genuine interest.</t>
        </is>
      </c>
      <c r="H72" s="23" t="inlineStr">
        <is>
          <t>As low interest, so don't reply.</t>
        </is>
      </c>
      <c r="I72" s="23" t="inlineStr">
        <is>
          <t>A short opener referencing your profile is normal.</t>
        </is>
      </c>
      <c r="J72" s="23" t="inlineStr">
        <is>
          <t>As proof they're keener than someone who writes more.</t>
        </is>
      </c>
      <c r="K72" s="23" t="inlineStr">
        <is>
          <t>Length says little about interest either way. Let the conversation show it.</t>
        </is>
      </c>
      <c r="L72" s="23" t="inlineStr">
        <is>
          <t>Approved</t>
        </is>
      </c>
      <c r="M72" s="23" t="inlineStr">
        <is>
          <t>Bulk-approved by founder; item review pending</t>
        </is>
      </c>
      <c r="N72" s="24" t="n"/>
      <c r="O72" s="23" t="n"/>
      <c r="P72" s="25">
        <f>MAX(LEN(G72),LEN(I72),LEN(K72))</f>
        <v/>
      </c>
      <c r="Q72" s="26" t="inlineStr">
        <is>
          <t>Message length and effort on a first contact are not strongly correlated with how genuinely interested someone actually is once a conversation develops.</t>
        </is>
      </c>
      <c r="R72" s="26" t="inlineStr">
        <is>
          <t>Respond based on how the conversation actually develops rather than judging by the length or effort of the very first message.</t>
        </is>
      </c>
    </row>
    <row r="73" ht="75" customHeight="1" s="15">
      <c r="A73" s="23" t="inlineStr">
        <is>
          <t>SC-DR-12-a</t>
        </is>
      </c>
      <c r="B73" s="23" t="inlineStr">
        <is>
          <t>DR-12-house-party-flirting-norm</t>
        </is>
      </c>
      <c r="C73" s="23" t="inlineStr">
        <is>
          <t>Dating &amp; relationships</t>
        </is>
      </c>
      <c r="D73" s="23" t="inlineStr">
        <is>
          <t>At a house party someone spends the evening chatting and teasing you, and keeps ending up near you. Nothing is said about interest.</t>
        </is>
      </c>
      <c r="E73" s="23" t="inlineStr">
        <is>
          <t>How do you read it?</t>
        </is>
      </c>
      <c r="F73" s="23" t="inlineStr">
        <is>
          <t>As possible interest. If you're unsure, ask lightly: “Should we swap numbers?”</t>
        </is>
      </c>
      <c r="G73" s="23" t="inlineStr">
        <is>
          <t>Sustained attention and banter are often how interest is signalled, without a direct statement.</t>
        </is>
      </c>
      <c r="H73" s="23" t="inlineStr">
        <is>
          <t>As nothing, since nobody said they like you.</t>
        </is>
      </c>
      <c r="I73" s="23" t="inlineStr">
        <is>
          <t>No explicit statement doesn't mean no interest.</t>
        </is>
      </c>
      <c r="J73" s="23" t="inlineStr">
        <is>
          <t>As clear proof, so declare how you feel straight away.</t>
        </is>
      </c>
      <c r="K73" s="23" t="inlineStr">
        <is>
          <t>It isn't proof either. A light, low-pressure question is the safe way to find out.</t>
        </is>
      </c>
      <c r="L73" s="23" t="inlineStr">
        <is>
          <t>Approved</t>
        </is>
      </c>
      <c r="M73" s="23" t="inlineStr">
        <is>
          <t>Bulk-approved by founder; item review pending</t>
        </is>
      </c>
      <c r="N73" s="27" t="inlineStr">
        <is>
          <t>Yes</t>
        </is>
      </c>
      <c r="O73" s="23" t="n"/>
      <c r="P73" s="25">
        <f>MAX(LEN(G73),LEN(I73),LEN(K73))</f>
        <v/>
      </c>
      <c r="Q73" s="26" t="inlineStr">
        <is>
          <t>The absence of an explicit, direct statement of interest doesn't mean interest isn't present — it's often being signaled through sustained attention and banter instead.</t>
        </is>
      </c>
      <c r="R73" s="26" t="inlineStr">
        <is>
          <t>Notice sustained attention and playful teasing as potential interest signals in themselves, and it's fine to test the waters with a direct, low-pressure question if unsure: "Should we swap numbers?"</t>
        </is>
      </c>
    </row>
    <row r="74" ht="75" customHeight="1" s="15">
      <c r="A74" s="23" t="inlineStr">
        <is>
          <t>SC-DR-14-a</t>
        </is>
      </c>
      <c r="B74" s="23" t="inlineStr">
        <is>
          <t>DR-14-partners-friends-approval-indirectness</t>
        </is>
      </c>
      <c r="C74" s="23" t="inlineStr">
        <is>
          <t>Dating &amp; relationships</t>
        </is>
      </c>
      <c r="D74" s="23" t="inlineStr">
        <is>
          <t>Your friends are polite to your new partner but a little less warm than usual. Nobody says anything negative.</t>
        </is>
      </c>
      <c r="E74" s="23" t="inlineStr">
        <is>
          <t>How do you read it?</t>
        </is>
      </c>
      <c r="F74" s="23" t="inlineStr">
        <is>
          <t>As a possible signal. Ask a close friend privately for their honest impression.</t>
        </is>
      </c>
      <c r="G74" s="23" t="inlineStr">
        <is>
          <t>No negative comment doesn't necessarily mean full approval. Unstated coolness can be a real signal.</t>
        </is>
      </c>
      <c r="H74" s="23" t="inlineStr">
        <is>
          <t>As approval, since nobody objected.</t>
        </is>
      </c>
      <c r="I74" s="23" t="inlineStr">
        <is>
          <t>Politeness isn't the same as approval.</t>
        </is>
      </c>
      <c r="J74" s="23" t="inlineStr">
        <is>
          <t>As all in your head, so ignore it.</t>
        </is>
      </c>
      <c r="K74" s="23" t="inlineStr">
        <is>
          <t>It may be a real signal. A private question to a trusted friend settles it.</t>
        </is>
      </c>
      <c r="L74" s="23" t="inlineStr">
        <is>
          <t>Approved</t>
        </is>
      </c>
      <c r="M74" s="23" t="inlineStr">
        <is>
          <t>Bulk-approved by founder; item review pending</t>
        </is>
      </c>
      <c r="N74" s="24" t="n"/>
      <c r="O74" s="23" t="n"/>
      <c r="P74" s="25">
        <f>MAX(LEN(G74),LEN(I74),LEN(K74))</f>
        <v/>
      </c>
      <c r="Q74" s="26" t="inlineStr">
        <is>
          <t>The absence of an openly negative comment doesn't necessarily mean full approval — a noticeable but unstated coolness can be a real, if indirect, signal.</t>
        </is>
      </c>
      <c r="R74" s="26" t="inlineStr">
        <is>
          <t>If reading the group's reaction genuinely matters, ask a trusted close friend directly and privately for their honest impression, rather than relying on the group's general politeness as a signal.</t>
        </is>
      </c>
    </row>
    <row r="75" ht="61.5" customHeight="1" s="15">
      <c r="A75" s="23" t="inlineStr">
        <is>
          <t>SC-DR-16-a</t>
        </is>
      </c>
      <c r="B75" s="23" t="inlineStr">
        <is>
          <t>DR-16-meeting-the-family-formal-occasion</t>
        </is>
      </c>
      <c r="C75" s="23" t="inlineStr">
        <is>
          <t>Dating &amp; relationships</t>
        </is>
      </c>
      <c r="D75" s="23" t="inlineStr">
        <is>
          <t>Your partner says, “Come for Sunday lunch and meet everyone.” It sounds casual.</t>
        </is>
      </c>
      <c r="E75" s="23" t="inlineStr">
        <is>
          <t>How do you treat the invitation?</t>
        </is>
      </c>
      <c r="F75" s="23" t="inlineStr">
        <is>
          <t>As a meaningful occasion. Prepare, with a small gift and suitable dress.</t>
        </is>
      </c>
      <c r="G75" s="23" t="inlineStr">
        <is>
          <t>Sunday lunch is often chosen deliberately for this milestone, whatever the tone of the invitation.</t>
        </is>
      </c>
      <c r="H75" s="23" t="inlineStr">
        <is>
          <t>As a casual meal, so turn up as you are.</t>
        </is>
      </c>
      <c r="I75" s="23" t="inlineStr">
        <is>
          <t>It carries more weight than a casual visit.</t>
        </is>
      </c>
      <c r="J75" s="23" t="inlineStr">
        <is>
          <t>As too much, too soon, so decline politely.</t>
        </is>
      </c>
      <c r="K75" s="23" t="inlineStr">
        <is>
          <t>Declining isn't needed. It's an invitation into their family life, worth preparing for.</t>
        </is>
      </c>
      <c r="L75" s="23" t="inlineStr">
        <is>
          <t>Approved</t>
        </is>
      </c>
      <c r="M75" s="23" t="inlineStr">
        <is>
          <t>Bulk-approved by founder; item review pending</t>
        </is>
      </c>
      <c r="N75" s="24" t="n"/>
      <c r="O75" s="23" t="n"/>
      <c r="P75" s="25">
        <f>MAX(LEN(G75),LEN(I75),LEN(K75))</f>
        <v/>
      </c>
      <c r="Q75" s="26" t="inlineStr">
        <is>
          <t>This specific setting is often chosen deliberately as the occasion for this milestone, rather than being simply the next convenient time to visit.</t>
        </is>
      </c>
      <c r="R75" s="26" t="inlineStr">
        <is>
          <t>Treat a Sunday lunch family invitation as a meaningful occasion worth preparing for (a small gift, appropriate dress), even if the invitation itself sounds casual.</t>
        </is>
      </c>
    </row>
    <row r="76" ht="61.5" customHeight="1" s="15">
      <c r="A76" s="23" t="inlineStr">
        <is>
          <t>SC-MN-3-a</t>
        </is>
      </c>
      <c r="B76" s="23" t="inlineStr">
        <is>
          <t>MN-3-splitting-bill-evenly-default</t>
        </is>
      </c>
      <c r="C76" s="23" t="inlineStr">
        <is>
          <t>Money &amp; transactions</t>
        </is>
      </c>
      <c r="D76" s="23" t="inlineStr">
        <is>
          <t>At a casual group dinner someone says, “Shall we just split it evenly?” You only had a starter. The others had three courses.</t>
        </is>
      </c>
      <c r="E76" s="23" t="inlineStr">
        <is>
          <t>What do you do?</t>
        </is>
      </c>
      <c r="F76" s="23" t="inlineStr">
        <is>
          <t>Say lightly: “I only had a starter, would you mind if I paid a bit less?”</t>
        </is>
      </c>
      <c r="G76" s="23" t="inlineStr">
        <is>
          <t>That's a normal, unremarkable thing to say when it's said plainly and lightly.</t>
        </is>
      </c>
      <c r="H76" s="23" t="inlineStr">
        <is>
          <t>Stay quiet so you don't seem petty, and pay an even share.</t>
        </is>
      </c>
      <c r="I76" s="23" t="inlineStr">
        <is>
          <t>Raising it isn't petty. Staying quiet leaves you paying for food you didn't order.</t>
        </is>
      </c>
      <c r="J76" s="23" t="inlineStr">
        <is>
          <t>Insist that everyone itemises the bill line by line.</t>
        </is>
      </c>
      <c r="K76" s="23" t="inlineStr">
        <is>
          <t>The even split is a casual convenience default. A light word is enough, with no formal itemising.</t>
        </is>
      </c>
      <c r="L76" s="23" t="inlineStr">
        <is>
          <t>Approved</t>
        </is>
      </c>
      <c r="M76" s="23" t="inlineStr">
        <is>
          <t>Reviewed and approved by founder</t>
        </is>
      </c>
      <c r="N76" s="24" t="n"/>
      <c r="O76" s="23" t="n"/>
      <c r="P76" s="25">
        <f>MAX(LEN(G76),LEN(I76),LEN(K76))</f>
        <v/>
      </c>
      <c r="Q76" s="26" t="inlineStr">
        <is>
          <t>This default reflects convenience and a general social ease around small imbalances, rather than an expectation that everyone calculate their exact share.</t>
        </is>
      </c>
      <c r="R76" s="26" t="inlineStr">
        <is>
          <t>It's entirely acceptable to say plainly and lightly: "I only had a starter, would you mind if I paid a bit less?" — this is a normal, unremarkable thing to raise.</t>
        </is>
      </c>
    </row>
    <row r="77" ht="102" customHeight="1" s="15">
      <c r="A77" s="23" t="inlineStr">
        <is>
          <t>SC-MN-4-a</t>
        </is>
      </c>
      <c r="B77" s="23" t="inlineStr">
        <is>
          <t>MN-4-salary-discussion-taboo</t>
        </is>
      </c>
      <c r="C77" s="23" t="inlineStr">
        <is>
          <t>Money &amp; transactions</t>
        </is>
      </c>
      <c r="D77" s="23" t="inlineStr">
        <is>
          <t>Over coffee you ask a new colleague, “So what do you earn?” They smile and say, “Oh, I do alright.”</t>
        </is>
      </c>
      <c r="E77" s="23" t="inlineStr">
        <is>
          <t>What's going on?</t>
        </is>
      </c>
      <c r="F77" s="23" t="inlineStr">
        <is>
          <t>Pay is private, so it's a polite deflection. For a benchmark, talk about ranges or market rates instead.</t>
        </is>
      </c>
      <c r="G77" s="23" t="inlineStr">
        <is>
          <t>It's a strong general norm, not evasiveness aimed at you. Asking directly was the misstep.</t>
        </is>
      </c>
      <c r="H77" s="23" t="inlineStr">
        <is>
          <t>They don't trust you personally.</t>
        </is>
      </c>
      <c r="I77" s="23" t="inlineStr">
        <is>
          <t>It isn't aimed at you. Reticence about salary is shared even among close colleagues and friends.</t>
        </is>
      </c>
      <c r="J77" s="23" t="inlineStr">
        <is>
          <t>They're being modest, so ask again for the real figure.</t>
        </is>
      </c>
      <c r="K77" s="23" t="inlineStr">
        <is>
          <t>Asking again would deepen the misstep. Frame pay around a range or market rate, not a personal question.</t>
        </is>
      </c>
      <c r="L77" s="23" t="inlineStr">
        <is>
          <t>Approved</t>
        </is>
      </c>
      <c r="M77" s="23" t="inlineStr">
        <is>
          <t>Reviewed and approved by founder</t>
        </is>
      </c>
      <c r="N77" s="24" t="n"/>
      <c r="O77" s="23" t="n"/>
      <c r="P77" s="25">
        <f>MAX(LEN(G77),LEN(I77),LEN(K77))</f>
        <v/>
      </c>
      <c r="Q77" s="26" t="inlineStr">
        <is>
          <t>This reticence is a strong general cultural norm rather than evasiveness aimed at the specific person asking — a UK survey (Indeed, 7,000+ workers) found 87% of employees uncomfortable asking a colleague their salary and 84% unwilling to share their own, with only 16% comfortable discussing pay with colleagues at all.</t>
        </is>
      </c>
      <c r="R77" s="26" t="inlineStr">
        <is>
          <t>Avoid asking directly about someone's salary; if the topic is genuinely relevant (e.g. negotiating a role), frame it around a range or market rate rather than a personal question.</t>
        </is>
      </c>
    </row>
    <row r="78" ht="61.5" customHeight="1" s="15">
      <c r="A78" s="23" t="inlineStr">
        <is>
          <t>SC-MN-10-a</t>
        </is>
      </c>
      <c r="B78" s="23" t="inlineStr">
        <is>
          <t>MN-10-treating-someone-no-expectation-of-repayment</t>
        </is>
      </c>
      <c r="C78" s="23" t="inlineStr">
        <is>
          <t>Money &amp; transactions</t>
        </is>
      </c>
      <c r="D78" s="23" t="inlineStr">
        <is>
          <t>A friend pays for your drinks and says, “Don't worry about it, I've got this.” You feel uncomfortable owing them.</t>
        </is>
      </c>
      <c r="E78" s="23" t="inlineStr">
        <is>
          <t>What do you do?</t>
        </is>
      </c>
      <c r="F78" s="23" t="inlineStr">
        <is>
          <t>Say a simple thank you, and treat them back naturally another time.</t>
        </is>
      </c>
      <c r="G78" s="23" t="inlineStr">
        <is>
          <t>“I've got this” is a closed gesture, not the start of a tally to be evened out.</t>
        </is>
      </c>
      <c r="H78" s="23" t="inlineStr">
        <is>
          <t>Insist on paying them back on the spot.</t>
        </is>
      </c>
      <c r="I78" s="23" t="inlineStr">
        <is>
          <t>That tends to feel slightly awkward to the friend, who didn't mean it to be repaid.</t>
        </is>
      </c>
      <c r="J78" s="23" t="inlineStr">
        <is>
          <t>Keep track of it as a debt to settle soon.</t>
        </is>
      </c>
      <c r="K78" s="23" t="inlineStr">
        <is>
          <t>It isn't an informal debt. Thank them, and reciprocate naturally another time.</t>
        </is>
      </c>
      <c r="L78" s="23" t="inlineStr">
        <is>
          <t>Approved</t>
        </is>
      </c>
      <c r="M78" s="23" t="inlineStr">
        <is>
          <t>Reviewed and approved by founder</t>
        </is>
      </c>
      <c r="N78" s="24" t="n"/>
      <c r="O78" s="23" t="n"/>
      <c r="P78" s="25">
        <f>MAX(LEN(G78),LEN(I78),LEN(K78))</f>
        <v/>
      </c>
      <c r="Q78" s="26" t="inlineStr">
        <is>
          <t>This is intended as a straightforward, closed gesture rather than the start of an ongoing tally between friends that needs to be evened out.</t>
        </is>
      </c>
      <c r="R78" s="26" t="inlineStr">
        <is>
          <t>Accept the gesture graciously with a simple thank you, and reciprocate naturally another time rather than insisting on immediate repayment.</t>
        </is>
      </c>
    </row>
    <row r="79" ht="61.5" customHeight="1" s="15">
      <c r="A79" s="23" t="inlineStr">
        <is>
          <t>SC-MN-1-a</t>
        </is>
      </c>
      <c r="B79" s="23" t="inlineStr">
        <is>
          <t>MN-1-tipping-optional-modest-norm</t>
        </is>
      </c>
      <c r="C79" s="23" t="inlineStr">
        <is>
          <t>Money &amp; transactions</t>
        </is>
      </c>
      <c r="D79" s="23" t="inlineStr">
        <is>
          <t>You've paid for a coffee at a café counter. Nobody prompts you to tip.</t>
        </is>
      </c>
      <c r="E79" s="23" t="inlineStr">
        <is>
          <t>What do you do?</t>
        </is>
      </c>
      <c r="F79" s="23" t="inlineStr">
        <is>
          <t>Don't tip. It isn't expected at counters.</t>
        </is>
      </c>
      <c r="G79" s="23" t="inlineStr">
        <is>
          <t>Not tipping in everyday settings like cafés and takeaways is genuinely normal, not rude.</t>
        </is>
      </c>
      <c r="H79" s="23" t="inlineStr">
        <is>
          <t>Tip a large amount to be safe.</t>
        </is>
      </c>
      <c r="I79" s="23" t="inlineStr">
        <is>
          <t>Not needed. Tipping isn't expected at counters, cafés or most takeaways.</t>
        </is>
      </c>
      <c r="J79" s="23" t="inlineStr">
        <is>
          <t>Feel embarrassed and apologise for not tipping.</t>
        </is>
      </c>
      <c r="K79" s="23" t="inlineStr">
        <is>
          <t>There's nothing to apologise for. Not tipping here is normal.</t>
        </is>
      </c>
      <c r="L79" s="23" t="inlineStr">
        <is>
          <t>Approved</t>
        </is>
      </c>
      <c r="M79" s="23" t="inlineStr">
        <is>
          <t>Bulk-approved by founder; item review pending</t>
        </is>
      </c>
      <c r="N79" s="24" t="n"/>
      <c r="O79" s="23" t="n"/>
      <c r="P79" s="25">
        <f>MAX(LEN(G79),LEN(I79),LEN(K79))</f>
        <v/>
      </c>
      <c r="Q79" s="26" t="inlineStr">
        <is>
          <t>Not tipping in many everyday settings (cafes, takeaways, taxis) is genuinely normal and not read as rude, unlike in some tipping-heavy cultures.</t>
        </is>
      </c>
      <c r="R79" s="26" t="inlineStr">
        <is>
          <t>Tip around 10-12.5% at sit-down restaurants if service isn't already included, and don't feel obligated to tip at counters, cafes, or most takeaways.</t>
        </is>
      </c>
    </row>
    <row r="80" ht="102" customHeight="1" s="15">
      <c r="A80" s="23" t="inlineStr">
        <is>
          <t>SC-MN-2-a</t>
        </is>
      </c>
      <c r="B80" s="23" t="inlineStr">
        <is>
          <t>MN-2-service-charge-auto-added-notice</t>
        </is>
      </c>
      <c r="C80" s="23" t="inlineStr">
        <is>
          <t>Money &amp; transactions</t>
        </is>
      </c>
      <c r="D80" s="23" t="inlineStr">
        <is>
          <t>At a restaurant your bill includes a “discretionary service charge” added automatically. The service was fine.</t>
        </is>
      </c>
      <c r="E80" s="23" t="inlineStr">
        <is>
          <t>What do you do?</t>
        </is>
      </c>
      <c r="F80" s="23" t="inlineStr">
        <is>
          <t>Pay it. If service was poor, you can politely ask for it to be reduced.</t>
        </is>
      </c>
      <c r="G80" s="23" t="inlineStr">
        <is>
          <t>In most cases it's fine to pay the standard charge. A polite request is acceptable if service was poor.</t>
        </is>
      </c>
      <c r="H80" s="23" t="inlineStr">
        <is>
          <t>Refuse to pay it, since it says discretionary.</t>
        </is>
      </c>
      <c r="I80" s="23" t="inlineStr">
        <is>
          <t>“Discretionary” doesn't mean you should refuse. Paying is normal when service was fine.</t>
        </is>
      </c>
      <c r="J80" s="23" t="inlineStr">
        <is>
          <t>Pay it and add a large tip on top.</t>
        </is>
      </c>
      <c r="K80" s="23" t="inlineStr">
        <is>
          <t>The charge is already for service, so a further tip isn't needed.</t>
        </is>
      </c>
      <c r="L80" s="23" t="inlineStr">
        <is>
          <t>Approved</t>
        </is>
      </c>
      <c r="M80" s="23" t="inlineStr">
        <is>
          <t>Bulk-approved by founder; item review pending</t>
        </is>
      </c>
      <c r="N80" s="24" t="n"/>
      <c r="O80" s="23" t="n"/>
      <c r="P80" s="25">
        <f>MAX(LEN(G80),LEN(I80),LEN(K80))</f>
        <v/>
      </c>
      <c r="Q80" s="26" t="inlineStr">
        <is>
          <t>Since the Employment (Allocation of Tips) Act 2023 came into force on 1 October 2024, staff are legally entitled to 100% of tips and service charges with no employer deductions — so despite being labelled "discretionary," the charge is now guaranteed by law to reach staff, which most diners still don't know.</t>
        </is>
      </c>
      <c r="R80" s="26" t="inlineStr">
        <is>
          <t>It's fine to simply pay the standard service charge in most cases; if service was genuinely poor, it's acceptable to politely ask for it to be removed or reduced.</t>
        </is>
      </c>
    </row>
    <row r="81" ht="61.5" customHeight="1" s="15">
      <c r="A81" s="23" t="inlineStr">
        <is>
          <t>SC-MN-5-a</t>
        </is>
      </c>
      <c r="B81" s="23" t="inlineStr">
        <is>
          <t>MN-5-borrowing-money-awkwardness-indirect-language</t>
        </is>
      </c>
      <c r="C81" s="23" t="inlineStr">
        <is>
          <t>Money &amp; transactions</t>
        </is>
      </c>
      <c r="D81" s="23" t="inlineStr">
        <is>
          <t>A friend messages: “This is really awkward to ask, but could you lend me £50?” They hedge heavily.</t>
        </is>
      </c>
      <c r="E81" s="23" t="inlineStr">
        <is>
          <t>How do you read the hedging?</t>
        </is>
      </c>
      <c r="F81" s="23" t="inlineStr">
        <is>
          <t>As shared discomfort about money, not a crisis. Answer the request plainly.</t>
        </is>
      </c>
      <c r="G81" s="23" t="inlineStr">
        <is>
          <t>The hedging is a social convention. It doesn't mean the request is unusual.</t>
        </is>
      </c>
      <c r="H81" s="23" t="inlineStr">
        <is>
          <t>As a sign something is seriously wrong.</t>
        </is>
      </c>
      <c r="I81" s="23" t="inlineStr">
        <is>
          <t>Awkward framing is common and doesn't signal a bigger problem.</t>
        </is>
      </c>
      <c r="J81" s="23" t="inlineStr">
        <is>
          <t>As a sign you must say yes.</t>
        </is>
      </c>
      <c r="K81" s="23" t="inlineStr">
        <is>
          <t>You can agree or decline plainly. The awkward framing doesn't oblige you.</t>
        </is>
      </c>
      <c r="L81" s="23" t="inlineStr">
        <is>
          <t>Approved</t>
        </is>
      </c>
      <c r="M81" s="23" t="inlineStr">
        <is>
          <t>Bulk-approved by founder; item review pending</t>
        </is>
      </c>
      <c r="N81" s="27" t="inlineStr">
        <is>
          <t>Yes</t>
        </is>
      </c>
      <c r="O81" s="23" t="n"/>
      <c r="P81" s="25">
        <f>MAX(LEN(G81),LEN(I81),LEN(K81))</f>
        <v/>
      </c>
      <c r="Q81" s="26" t="inlineStr">
        <is>
          <t>The hedging reflects a real, broadly shared discomfort around money between friends, not a sign that the specific request is unusually large or inappropriate.</t>
        </is>
      </c>
      <c r="R81" s="26" t="inlineStr">
        <is>
          <t>Respond to the practical request itself rather than reading deep concern into the awkward framing, and it's fine to agree or decline plainly either way.</t>
        </is>
      </c>
    </row>
    <row r="82" ht="61.5" customHeight="1" s="15">
      <c r="A82" s="23" t="inlineStr">
        <is>
          <t>SC-MN-6-a</t>
        </is>
      </c>
      <c r="B82" s="23" t="inlineStr">
        <is>
          <t>MN-6-whos-paying-ambiguity-group-meal</t>
        </is>
      </c>
      <c r="C82" s="23" t="inlineStr">
        <is>
          <t>Money &amp; transactions</t>
        </is>
      </c>
      <c r="D82" s="23" t="inlineStr">
        <is>
          <t>When the bill arrives at a group meal, someone reaches for it slightly first and people exchange glances. Nobody says anything.</t>
        </is>
      </c>
      <c r="E82" s="23" t="inlineStr">
        <is>
          <t>What do you do?</t>
        </is>
      </c>
      <c r="F82" s="23" t="inlineStr">
        <is>
          <t>Suggest resolving it: “Shall we just split it?”</t>
        </is>
      </c>
      <c r="G82" s="23" t="inlineStr">
        <is>
          <t>It's a normal, low-stakes pause. Naming it is well received.</t>
        </is>
      </c>
      <c r="H82" s="23" t="inlineStr">
        <is>
          <t>Wait silently until someone gives in.</t>
        </is>
      </c>
      <c r="I82" s="23" t="inlineStr">
        <is>
          <t>It usually gets resolved quickly, but taking the initiative is welcome.</t>
        </is>
      </c>
      <c r="J82" s="23" t="inlineStr">
        <is>
          <t>Grab the bill and pay for everyone.</t>
        </is>
      </c>
      <c r="K82" s="23" t="inlineStr">
        <is>
          <t>That isn't needed. A simple suggestion to split resolves it.</t>
        </is>
      </c>
      <c r="L82" s="23" t="inlineStr">
        <is>
          <t>Approved</t>
        </is>
      </c>
      <c r="M82" s="23" t="inlineStr">
        <is>
          <t>Bulk-approved by founder; item review pending</t>
        </is>
      </c>
      <c r="N82" s="24" t="n"/>
      <c r="O82" s="23" t="n"/>
      <c r="P82" s="25">
        <f>MAX(LEN(G82),LEN(I82),LEN(K82))</f>
        <v/>
      </c>
      <c r="Q82" s="26" t="inlineStr">
        <is>
          <t>This ambiguity is a normal, low-stakes social moment rather than a genuine standoff — someone usually resolves it quickly with a suggestion to split or a offer to get it this time.</t>
        </is>
      </c>
      <c r="R82" s="26" t="inlineStr">
        <is>
          <t>If the pause feels uncomfortable, it's fine to simply suggest resolving it directly: "Shall we just split it?" — taking the initiative to name it is well received.</t>
        </is>
      </c>
    </row>
    <row r="83" ht="75" customHeight="1" s="15">
      <c r="A83" s="23" t="inlineStr">
        <is>
          <t>SC-MN-9-a</t>
        </is>
      </c>
      <c r="B83" s="23" t="inlineStr">
        <is>
          <t>MN-9-fixed-price-no-haggling-norm</t>
        </is>
      </c>
      <c r="C83" s="23" t="inlineStr">
        <is>
          <t>Money &amp; transactions</t>
        </is>
      </c>
      <c r="D83" s="23" t="inlineStr">
        <is>
          <t>In a high-street shop you like a jacket with a clear price tag.</t>
        </is>
      </c>
      <c r="E83" s="23" t="inlineStr">
        <is>
          <t>What do you do?</t>
        </is>
      </c>
      <c r="F83" s="23" t="inlineStr">
        <is>
          <t>Treat the price as fixed: pay it, or leave it.</t>
        </is>
      </c>
      <c r="G83" s="23" t="inlineStr">
        <is>
          <t>Haggling in standard UK shops is unusual. Flexibility is mainly found at markets or secondhand sales.</t>
        </is>
      </c>
      <c r="H83" s="23" t="inlineStr">
        <is>
          <t>Offer a lower price.</t>
        </is>
      </c>
      <c r="I83" s="23" t="inlineStr">
        <is>
          <t>Staff generally don't expect it, and it can make the exchange awkward.</t>
        </is>
      </c>
      <c r="J83" s="23" t="inlineStr">
        <is>
          <t>Ask for a discount because you're a new customer.</t>
        </is>
      </c>
      <c r="K83" s="23" t="inlineStr">
        <is>
          <t>Marked prices are generally fixed. Negotiating mainly belongs to markets or private sales.</t>
        </is>
      </c>
      <c r="L83" s="23" t="inlineStr">
        <is>
          <t>Approved</t>
        </is>
      </c>
      <c r="M83" s="23" t="inlineStr">
        <is>
          <t>Bulk-approved by founder; item review pending</t>
        </is>
      </c>
      <c r="N83" s="27" t="inlineStr">
        <is>
          <t>Yes</t>
        </is>
      </c>
      <c r="O83" s="23" t="n"/>
      <c r="P83" s="25">
        <f>MAX(LEN(G83),LEN(I83),LEN(K83))</f>
        <v/>
      </c>
      <c r="Q83" s="26" t="inlineStr">
        <is>
          <t>Attempting to negotiate the price in a standard UK shop is unusual and can create an awkward interaction, rather than being read as normal, expected behavior.</t>
        </is>
      </c>
      <c r="R83" s="26" t="inlineStr">
        <is>
          <t>Treat marked prices as fixed in standard retail settings; genuine flexibility mainly exists at some markets, car dealerships, or when buying secondhand items directly from an individual.</t>
        </is>
      </c>
    </row>
    <row r="84" ht="60" customHeight="1" s="15">
      <c r="A84" s="23" t="inlineStr">
        <is>
          <t>SC-MN-11-a</t>
        </is>
      </c>
      <c r="B84" s="23" t="inlineStr">
        <is>
          <t>MN-11-charity-doorstep-direct-debit-solicitation</t>
        </is>
      </c>
      <c r="C84" s="23" t="inlineStr">
        <is>
          <t>Money &amp; transactions</t>
        </is>
      </c>
      <c r="D84" s="23" t="inlineStr">
        <is>
          <t>A street fundraiser in branded clothing says, “Have you got two minutes?” and holds up a tablet.</t>
        </is>
      </c>
      <c r="E84" s="23" t="inlineStr">
        <is>
          <t>What do you do?</t>
        </is>
      </c>
      <c r="F84" s="23" t="inlineStr">
        <is>
          <t>Say “not today, thanks” and keep walking.</t>
        </is>
      </c>
      <c r="G84" s="23" t="inlineStr">
        <is>
          <t>A brief, polite no is completely normal and enough.</t>
        </is>
      </c>
      <c r="H84" s="23" t="inlineStr">
        <is>
          <t>Stop and explain in detail why you can't donate.</t>
        </is>
      </c>
      <c r="I84" s="23" t="inlineStr">
        <is>
          <t>No explanation is needed. It's a standard approach, not a personal ask.</t>
        </is>
      </c>
      <c r="J84" s="23" t="inlineStr">
        <is>
          <t>Feel you have to listen for two minutes.</t>
        </is>
      </c>
      <c r="K84" s="23" t="inlineStr">
        <is>
          <t>You don't. A short polite refusal while walking is normal.</t>
        </is>
      </c>
      <c r="L84" s="23" t="inlineStr">
        <is>
          <t>Approved</t>
        </is>
      </c>
      <c r="M84" s="23" t="inlineStr">
        <is>
          <t>Bulk-approved by founder; item review pending</t>
        </is>
      </c>
      <c r="N84" s="24" t="n"/>
      <c r="O84" s="23" t="n"/>
      <c r="P84" s="25">
        <f>MAX(LEN(G84),LEN(I84),LEN(K84))</f>
        <v/>
      </c>
      <c r="Q84" s="26" t="inlineStr">
        <is>
          <t>This is a standard, widely used charity fundraising approach rather than a sign of a specific, unusually aggressive or targeted ask.</t>
        </is>
      </c>
      <c r="R84" s="26" t="inlineStr">
        <is>
          <t>A brief, polite "not today, thanks" while continuing to walk is a completely normal and sufficient response to a street fundraiser.</t>
        </is>
      </c>
    </row>
    <row r="85" ht="115.5" customHeight="1" s="15">
      <c r="A85" s="23" t="inlineStr">
        <is>
          <t>SC-MN-12-a</t>
        </is>
      </c>
      <c r="B85" s="23" t="inlineStr">
        <is>
          <t>MN-12-arranged-vs-unarranged-overdraft-terminology</t>
        </is>
      </c>
      <c r="C85" s="23" t="inlineStr">
        <is>
          <t>Money &amp; transactions</t>
        </is>
      </c>
      <c r="D85" s="23" t="inlineStr">
        <is>
          <t>Your bank app says you've gone into an “unarranged overdraft”. You worry it means you've done something wrong.</t>
        </is>
      </c>
      <c r="E85" s="23" t="inlineStr">
        <is>
          <t>What does it mean, and what do you do?</t>
        </is>
      </c>
      <c r="F85" s="23" t="inlineStr">
        <is>
          <t>It's standard terminology. If you'll need an overdraft, ask for an arranged limit in advance.</t>
        </is>
      </c>
      <c r="G85" s="23" t="inlineStr">
        <is>
          <t>It's precise banking terminology, not a warning about your behaviour.</t>
        </is>
      </c>
      <c r="H85" s="23" t="inlineStr">
        <is>
          <t>That you're being accused of wrongdoing.</t>
        </is>
      </c>
      <c r="I85" s="23" t="inlineStr">
        <is>
          <t>It's just a term for borrowing beyond an agreed limit.</t>
        </is>
      </c>
      <c r="J85" s="23" t="inlineStr">
        <is>
          <t>That it's the same as arranged, so there's nothing to do.</t>
        </is>
      </c>
      <c r="K85" s="23" t="inlineStr">
        <is>
          <t>Not quite. Asking for an arranged limit in advance generally means lower fees.</t>
        </is>
      </c>
      <c r="L85" s="23" t="inlineStr">
        <is>
          <t>Approved</t>
        </is>
      </c>
      <c r="M85" s="23" t="inlineStr">
        <is>
          <t>Bulk-approved by founder; item review pending</t>
        </is>
      </c>
      <c r="N85" s="24" t="n"/>
      <c r="O85" s="23" t="n"/>
      <c r="P85" s="25">
        <f>MAX(LEN(G85),LEN(I85),LEN(K85))</f>
        <v/>
      </c>
      <c r="Q85" s="26" t="inlineStr">
        <is>
          <t>This is precise, standard banking terminology rather than a personal warning about financial behaviour — since April 2020, an unarranged overdraft no longer costs noticeably more than an arranged one (both use the same rate), so the real risk is simply not knowing a limit was agreed, or exceeding it, rather than a punitive fee difference.</t>
        </is>
      </c>
      <c r="R85" s="26" t="inlineStr">
        <is>
          <t>Ask the bank directly to set up an arranged overdraft limit in advance if overdraft use is likely, since this generally comes with lower fees than going into an unarranged one unexpectedly.</t>
        </is>
      </c>
    </row>
    <row r="86" ht="88.5" customHeight="1" s="15">
      <c r="A86" s="23" t="inlineStr">
        <is>
          <t>SC-TR-1-a</t>
        </is>
      </c>
      <c r="B86" s="23" t="inlineStr">
        <is>
          <t>TR-1-delay-repay-compensation-claim-norm</t>
        </is>
      </c>
      <c r="C86" s="23" t="inlineStr">
        <is>
          <t>Transport &amp; commuting</t>
        </is>
      </c>
      <c r="D86" s="23" t="inlineStr">
        <is>
          <t>Your train arrives 40 minutes late. No refund appears and nobody mentions compensation.</t>
        </is>
      </c>
      <c r="E86" s="23" t="inlineStr">
        <is>
          <t>What do you do?</t>
        </is>
      </c>
      <c r="F86" s="23" t="inlineStr">
        <is>
          <t>Check your operator's Delay Repay process online and submit a claim with your ticket details.</t>
        </is>
      </c>
      <c r="G86" s="23" t="inlineStr">
        <is>
          <t>The scheme is real, but it relies on you claiming. For most tickets, nothing is issued automatically.</t>
        </is>
      </c>
      <c r="H86" s="23" t="inlineStr">
        <is>
          <t>Assume nothing can be done and move on.</t>
        </is>
      </c>
      <c r="I86" s="23" t="inlineStr">
        <is>
          <t>Many passengers don't realise they're entitled to compensation. After a long delay, check your operator's rules.</t>
        </is>
      </c>
      <c r="J86" s="23" t="inlineStr">
        <is>
          <t>Wait for the money to arrive automatically.</t>
        </is>
      </c>
      <c r="K86" s="23" t="inlineStr">
        <is>
          <t>It won't. The system relies entirely on the passenger noticing and submitting a claim.</t>
        </is>
      </c>
      <c r="L86" s="23" t="inlineStr">
        <is>
          <t>Approved</t>
        </is>
      </c>
      <c r="M86" s="23" t="inlineStr">
        <is>
          <t>Reviewed and approved by founder</t>
        </is>
      </c>
      <c r="N86" s="24" t="n"/>
      <c r="O86" s="23" t="n"/>
      <c r="P86" s="25">
        <f>MAX(LEN(G86),LEN(I86),LEN(K86))</f>
        <v/>
      </c>
      <c r="Q86" s="26" t="inlineStr">
        <is>
          <t>This is a deliberate, genuinely used compensation scheme (thresholds and payout tiers vary slightly by operator), but the system relies entirely on the passenger noticing and submitting a claim within 28 days of the journey — nothing is issued automatically for most tickets.</t>
        </is>
      </c>
      <c r="R86" s="26" t="inlineStr">
        <is>
          <t>After any delay of 15 minutes or more, check the specific train operator's Delay Repay claim process online and submit a claim with the ticket and journey details.</t>
        </is>
      </c>
    </row>
    <row r="87" ht="61.5" customHeight="1" s="15">
      <c r="A87" s="23" t="inlineStr">
        <is>
          <t>SC-TR-2-a</t>
        </is>
      </c>
      <c r="B87" s="23" t="inlineStr">
        <is>
          <t>TR-2-quiet-coach-etiquette</t>
        </is>
      </c>
      <c r="C87" s="23" t="inlineStr">
        <is>
          <t>Transport &amp; commuting</t>
        </is>
      </c>
      <c r="D87" s="23" t="inlineStr">
        <is>
          <t>You're on a phone call on a train when a passenger gives you a long, pointed look. Then you notice the “Quiet Coach” sign above the seats.</t>
        </is>
      </c>
      <c r="E87" s="23" t="inlineStr">
        <is>
          <t>What do you do?</t>
        </is>
      </c>
      <c r="F87" s="23" t="inlineStr">
        <is>
          <t>End the call, and take any call in the vestibule or another carriage.</t>
        </is>
      </c>
      <c r="G87" s="23" t="inlineStr">
        <is>
          <t>The quiet coach is enforced by fellow passengers as much as by staff, and it's meant seriously.</t>
        </is>
      </c>
      <c r="H87" s="23" t="inlineStr">
        <is>
          <t>Lower your voice and carry on, since no staff have said anything.</t>
        </is>
      </c>
      <c r="I87" s="23" t="inlineStr">
        <is>
          <t>Staff aren't needed. Passengers enforce this carriage themselves, and the expectation is strong.</t>
        </is>
      </c>
      <c r="J87" s="23" t="inlineStr">
        <is>
          <t>Ignore the look. It's just one unfriendly person.</t>
        </is>
      </c>
      <c r="K87" s="23" t="inlineStr">
        <is>
          <t>The look is the signal. Visible disapproval, even without a word, reflects a shared expectation.</t>
        </is>
      </c>
      <c r="L87" s="23" t="inlineStr">
        <is>
          <t>Approved</t>
        </is>
      </c>
      <c r="M87" s="23" t="inlineStr">
        <is>
          <t>Reviewed and approved by founder</t>
        </is>
      </c>
      <c r="N87" s="24" t="n"/>
      <c r="O87" s="23" t="n"/>
      <c r="P87" s="25">
        <f>MAX(LEN(G87),LEN(I87),LEN(K87))</f>
        <v/>
      </c>
      <c r="Q87" s="26" t="inlineStr">
        <is>
          <t>The social enforcement in this specific carriage is taken seriously even without staff present, reflecting a genuinely strong shared expectation, not just a suggestion.</t>
        </is>
      </c>
      <c r="R87" s="26" t="inlineStr">
        <is>
          <t>Check for quiet coach signage when boarding, and move to a vestibule or another carriage for any call, even a short one, if seated in a quiet coach.</t>
        </is>
      </c>
    </row>
    <row r="88" ht="61.5" customHeight="1" s="15">
      <c r="A88" s="23" t="inlineStr">
        <is>
          <t>SC-TR-8-a</t>
        </is>
      </c>
      <c r="B88" s="23" t="inlineStr">
        <is>
          <t>TR-8-excuse-me-this-is-my-stop-navigating-crowd</t>
        </is>
      </c>
      <c r="C88" s="23" t="inlineStr">
        <is>
          <t>Transport &amp; commuting</t>
        </is>
      </c>
      <c r="D88" s="23" t="inlineStr">
        <is>
          <t>The bus is packed and your stop is next. Standing passengers are between you and the door.</t>
        </is>
      </c>
      <c r="E88" s="23" t="inlineStr">
        <is>
          <t>What do you do?</t>
        </is>
      </c>
      <c r="F88" s="23" t="inlineStr">
        <is>
          <t>Say “excuse me, this is my stop” clearly a stop or two ahead, so people can move.</t>
        </is>
      </c>
      <c r="G88" s="23" t="inlineStr">
        <is>
          <t>A spoken request, made early, is the expected way, and people usually move aside promptly.</t>
        </is>
      </c>
      <c r="H88" s="23" t="inlineStr">
        <is>
          <t>Squeeze through without saying anything.</t>
        </is>
      </c>
      <c r="I88" s="23" t="inlineStr">
        <is>
          <t>Pushing past without speaking first is more likely to be read as rude.</t>
        </is>
      </c>
      <c r="J88" s="23" t="inlineStr">
        <is>
          <t>Wait until the doors are about to open, then ask.</t>
        </is>
      </c>
      <c r="K88" s="23" t="inlineStr">
        <is>
          <t>That leaves people no time to move. Ask a stop or two ahead.</t>
        </is>
      </c>
      <c r="L88" s="23" t="inlineStr">
        <is>
          <t>Approved</t>
        </is>
      </c>
      <c r="M88" s="23" t="inlineStr">
        <is>
          <t>Reviewed and approved by founder</t>
        </is>
      </c>
      <c r="N88" s="24" t="n"/>
      <c r="O88" s="23" t="n"/>
      <c r="P88" s="25">
        <f>MAX(LEN(G88),LEN(I88),LEN(K88))</f>
        <v/>
      </c>
      <c r="Q88" s="26" t="inlineStr">
        <is>
          <t>This verbal request is treated as sufficient and expected — physically pushing past without speaking first is more likely to be read as rude.</t>
        </is>
      </c>
      <c r="R88" s="26" t="inlineStr">
        <is>
          <t>Say "excuse me, this is my stop" clearly a stop or two in advance to give people time to move, rather than waiting until the doors are about to open.</t>
        </is>
      </c>
    </row>
    <row r="89" ht="61.5" customHeight="1" s="15">
      <c r="A89" s="23" t="inlineStr">
        <is>
          <t>SC-TR-3-a</t>
        </is>
      </c>
      <c r="B89" s="23" t="inlineStr">
        <is>
          <t>TR-3-give-up-seat-norm</t>
        </is>
      </c>
      <c r="C89" s="23" t="inlineStr">
        <is>
          <t>Transport &amp; commuting</t>
        </is>
      </c>
      <c r="D89" s="23" t="inlineStr">
        <is>
          <t>You're seated on a crowded train when someone with a “Baby on board” badge gets on. Other passengers are already glancing around.</t>
        </is>
      </c>
      <c r="E89" s="23" t="inlineStr">
        <is>
          <t>What do you do?</t>
        </is>
      </c>
      <c r="F89" s="23" t="inlineStr">
        <is>
          <t>Offer your seat straight away, without waiting to be asked.</t>
        </is>
      </c>
      <c r="G89" s="23" t="inlineStr">
        <is>
          <t>It's a firm, widely shared expectation, and passengers nearby notice if it isn't met.</t>
        </is>
      </c>
      <c r="H89" s="23" t="inlineStr">
        <is>
          <t>Wait to be asked, so you don't presume.</t>
        </is>
      </c>
      <c r="I89" s="23" t="inlineStr">
        <is>
          <t>People rarely ask. Offering proactively is expected.</t>
        </is>
      </c>
      <c r="J89" s="23" t="inlineStr">
        <is>
          <t>Assume someone else will offer.</t>
        </is>
      </c>
      <c r="K89" s="23" t="inlineStr">
        <is>
          <t>Others are watching. If you're closest, the expectation falls on you.</t>
        </is>
      </c>
      <c r="L89" s="23" t="inlineStr">
        <is>
          <t>Approved</t>
        </is>
      </c>
      <c r="M89" s="23" t="inlineStr">
        <is>
          <t>Bulk-approved by founder; item review pending</t>
        </is>
      </c>
      <c r="N89" s="24" t="n"/>
      <c r="O89" s="23" t="n"/>
      <c r="P89" s="25">
        <f>MAX(LEN(G89),LEN(I89),LEN(K89))</f>
        <v/>
      </c>
      <c r="Q89" s="26" t="inlineStr">
        <is>
          <t>This is treated as a firm, widely shared social expectation rather than an optional courtesy, and failing to act on it is noticed by others nearby.</t>
        </is>
      </c>
      <c r="R89" s="26" t="inlineStr">
        <is>
          <t>Stay alert to fellow passengers who may need a seat (elderly, visibly pregnant, using a mobility aid) and offer proactively rather than waiting to be asked.</t>
        </is>
      </c>
    </row>
    <row r="90" ht="60" customHeight="1" s="15">
      <c r="A90" s="23" t="inlineStr">
        <is>
          <t>SC-TR-4-a</t>
        </is>
      </c>
      <c r="B90" s="23" t="inlineStr">
        <is>
          <t>TR-4-escalator-standing-side-norm</t>
        </is>
      </c>
      <c r="C90" s="23" t="inlineStr">
        <is>
          <t>Transport &amp; commuting</t>
        </is>
      </c>
      <c r="D90" s="23" t="inlineStr">
        <is>
          <t>You step onto a busy station escalator and stand on the left. People behind you sigh and say “excuse me”.</t>
        </is>
      </c>
      <c r="E90" s="23" t="inlineStr">
        <is>
          <t>What was the mistake?</t>
        </is>
      </c>
      <c r="F90" s="23" t="inlineStr">
        <is>
          <t>On busy escalators, stand on the right and keep the left clear for walkers.</t>
        </is>
      </c>
      <c r="G90" s="23" t="inlineStr">
        <is>
          <t>In busy commuting periods it's treated as a near-firm rule, not a loose suggestion.</t>
        </is>
      </c>
      <c r="H90" s="23" t="inlineStr">
        <is>
          <t>Nothing. Everyone should be able to stand where they like.</t>
        </is>
      </c>
      <c r="I90" s="23" t="inlineStr">
        <is>
          <t>The sighs are the signal. The convention is stronger than it looks.</t>
        </is>
      </c>
      <c r="J90" s="23" t="inlineStr">
        <is>
          <t>You should have been walking up too.</t>
        </is>
      </c>
      <c r="K90" s="23" t="inlineStr">
        <is>
          <t>No, standing is fine. Just on the right, leaving the left clear for walkers.</t>
        </is>
      </c>
      <c r="L90" s="23" t="inlineStr">
        <is>
          <t>Approved</t>
        </is>
      </c>
      <c r="M90" s="23" t="inlineStr">
        <is>
          <t>Bulk-approved by founder; item review pending</t>
        </is>
      </c>
      <c r="N90" s="24" t="n"/>
      <c r="O90" s="23" t="n"/>
      <c r="P90" s="25">
        <f>MAX(LEN(G90),LEN(I90),LEN(K90))</f>
        <v/>
      </c>
      <c r="Q90" s="26" t="inlineStr">
        <is>
          <t>This is treated as a near-firm rule in practice, not a loose suggestion, particularly during busy commuting periods.</t>
        </is>
      </c>
      <c r="R90" s="26" t="inlineStr">
        <is>
          <t>Default to standing on the right on any escalator in a busy transport hub, keeping the left clear for people who want to walk.</t>
        </is>
      </c>
    </row>
    <row r="91" ht="61.5" customHeight="1" s="15">
      <c r="A91" s="23" t="inlineStr">
        <is>
          <t>SC-TR-5-a</t>
        </is>
      </c>
      <c r="B91" s="23" t="inlineStr">
        <is>
          <t>TR-5-staff-apology-on-behalf-of-delay</t>
        </is>
      </c>
      <c r="C91" s="23" t="inlineStr">
        <is>
          <t>Transport &amp; commuting</t>
        </is>
      </c>
      <c r="D91" s="23" t="inlineStr">
        <is>
          <t>A conductor says, “I'm so sorry about the delay.” It was caused by a signal failure elsewhere.</t>
        </is>
      </c>
      <c r="E91" s="23" t="inlineStr">
        <is>
          <t>How do you take that?</t>
        </is>
      </c>
      <c r="F91" s="23" t="inlineStr">
        <is>
          <t>As a standard courtesy. Ask for an update if you need practical information.</t>
        </is>
      </c>
      <c r="G91" s="23" t="inlineStr">
        <is>
          <t>It's a scripted courtesy, not the staff member taking personal responsibility.</t>
        </is>
      </c>
      <c r="H91" s="23" t="inlineStr">
        <is>
          <t>As proof the conductor caused it personally.</t>
        </is>
      </c>
      <c r="I91" s="23" t="inlineStr">
        <is>
          <t>It's a standard courtesy for delays from any cause.</t>
        </is>
      </c>
      <c r="J91" s="23" t="inlineStr">
        <is>
          <t>As a promise the delay will be short.</t>
        </is>
      </c>
      <c r="K91" s="23" t="inlineStr">
        <is>
          <t>It says nothing about length. Ask: “Do you have any update on how long it might be?”</t>
        </is>
      </c>
      <c r="L91" s="23" t="inlineStr">
        <is>
          <t>Approved</t>
        </is>
      </c>
      <c r="M91" s="23" t="inlineStr">
        <is>
          <t>Bulk-approved by founder; item review pending</t>
        </is>
      </c>
      <c r="N91" s="24" t="n"/>
      <c r="O91" s="23" t="n"/>
      <c r="P91" s="25">
        <f>MAX(LEN(G91),LEN(I91),LEN(K91))</f>
        <v/>
      </c>
      <c r="Q91" s="26" t="inlineStr">
        <is>
          <t>This is a scripted, standard customer service courtesy rather than the individual staff member taking personal responsibility for the cause of the delay.</t>
        </is>
      </c>
      <c r="R91" s="26" t="inlineStr">
        <is>
          <t>Accept the apology as standard courtesy and, if practical information is genuinely needed, ask directly: "Do you have any update on how long the delay might be?"</t>
        </is>
      </c>
    </row>
    <row r="92" ht="61.5" customHeight="1" s="15">
      <c r="A92" s="23" t="inlineStr">
        <is>
          <t>SC-TR-6-a</t>
        </is>
      </c>
      <c r="B92" s="23" t="inlineStr">
        <is>
          <t>TR-6-bus-request-stop-hand-signal</t>
        </is>
      </c>
      <c r="C92" s="23" t="inlineStr">
        <is>
          <t>Transport &amp; commuting</t>
        </is>
      </c>
      <c r="D92" s="23" t="inlineStr">
        <is>
          <t>You wait at a bus stop without raising your hand. The bus drives straight past.</t>
        </is>
      </c>
      <c r="E92" s="23" t="inlineStr">
        <is>
          <t>What should you have done?</t>
        </is>
      </c>
      <c r="F92" s="23" t="inlineStr">
        <is>
          <t>Raised a hand clearly as it approached.</t>
        </is>
      </c>
      <c r="G92" s="23" t="inlineStr">
        <is>
          <t>At request stops, buses may not stop unless someone signals.</t>
        </is>
      </c>
      <c r="H92" s="23" t="inlineStr">
        <is>
          <t>Waited closer to the road.</t>
        </is>
      </c>
      <c r="I92" s="23" t="inlineStr">
        <is>
          <t>Position isn't the signal. A raised hand is.</t>
        </is>
      </c>
      <c r="J92" s="23" t="inlineStr">
        <is>
          <t>Assumed the driver missed you, and complained.</t>
        </is>
      </c>
      <c r="K92" s="23" t="inlineStr">
        <is>
          <t>It wasn't an error. Not stopping automatically is standard at request stops.</t>
        </is>
      </c>
      <c r="L92" s="23" t="inlineStr">
        <is>
          <t>Approved</t>
        </is>
      </c>
      <c r="M92" s="23" t="inlineStr">
        <is>
          <t>Bulk-approved by founder; item review pending</t>
        </is>
      </c>
      <c r="N92" s="27" t="inlineStr">
        <is>
          <t>Yes</t>
        </is>
      </c>
      <c r="O92" s="23" t="n"/>
      <c r="P92" s="25">
        <f>MAX(LEN(G92),LEN(I92),LEN(K92))</f>
        <v/>
      </c>
      <c r="Q92" s="26" t="inlineStr">
        <is>
          <t>The bus not stopping automatically at every stop is standard operating procedure at request stops, not an error or the driver missing the passenger.</t>
        </is>
      </c>
      <c r="R92" s="26" t="inlineStr">
        <is>
          <t>Raise a hand clearly as the bus approaches any stop that might be a request stop, rather than assuming the bus will stop automatically.</t>
        </is>
      </c>
    </row>
    <row r="93" ht="75" customHeight="1" s="15">
      <c r="A93" s="23" t="inlineStr">
        <is>
          <t>SC-TR-7-a</t>
        </is>
      </c>
      <c r="B93" s="23" t="inlineStr">
        <is>
          <t>TR-7-tap-in-tap-out-contactless-fare-norm</t>
        </is>
      </c>
      <c r="C93" s="23" t="inlineStr">
        <is>
          <t>Transport &amp; commuting</t>
        </is>
      </c>
      <c r="D93" s="23" t="inlineStr">
        <is>
          <t>You've been charged the maximum fare for a journey because you forgot to tap out with your contactless card.</t>
        </is>
      </c>
      <c r="E93" s="23" t="inlineStr">
        <is>
          <t>What do you do?</t>
        </is>
      </c>
      <c r="F93" s="23" t="inlineStr">
        <is>
          <t>Submit a fare correction request online with the journey details.</t>
        </is>
      </c>
      <c r="G93" s="23" t="inlineStr">
        <is>
          <t>A missed tap-out gets the maximum fare automatically, and it isn't necessarily refunded without a request.</t>
        </is>
      </c>
      <c r="H93" s="23" t="inlineStr">
        <is>
          <t>Assume it's an error that will fix itself.</t>
        </is>
      </c>
      <c r="I93" s="23" t="inlineStr">
        <is>
          <t>It's an automatic rule, and a refund needs a specific request.</t>
        </is>
      </c>
      <c r="J93" s="23" t="inlineStr">
        <is>
          <t>Accept the charge as a penalty.</t>
        </is>
      </c>
      <c r="K93" s="23" t="inlineStr">
        <is>
          <t>It can be corrected. Submit the request, and tap out on every journey from now on.</t>
        </is>
      </c>
      <c r="L93" s="23" t="inlineStr">
        <is>
          <t>Approved</t>
        </is>
      </c>
      <c r="M93" s="23" t="inlineStr">
        <is>
          <t>Bulk-approved by founder; item review pending</t>
        </is>
      </c>
      <c r="N93" s="24" t="n"/>
      <c r="O93" s="23" t="n"/>
      <c r="P93" s="25">
        <f>MAX(LEN(G93),LEN(I93),LEN(K93))</f>
        <v/>
      </c>
      <c r="Q93" s="26" t="inlineStr">
        <is>
          <t>The maximum fare charge for a missed tap-out is an automatic system rule applied uniformly, not a targeted penalty or an error that will necessarily be refunded without a specific request.</t>
        </is>
      </c>
      <c r="R93" s="26" t="inlineStr">
        <is>
          <t>Always tap out at the end of every journey, and if a maximum fare is mistakenly charged, submit a fare correction request online with the specific journey details.</t>
        </is>
      </c>
    </row>
    <row r="94" ht="61.5" customHeight="1" s="15">
      <c r="A94" s="23" t="inlineStr">
        <is>
          <t>SC-TR-12-a</t>
        </is>
      </c>
      <c r="B94" s="23" t="inlineStr">
        <is>
          <t>TR-12-road-rage-passive-restrained-norm</t>
        </is>
      </c>
      <c r="C94" s="23" t="inlineStr">
        <is>
          <t>Transport &amp; commuting</t>
        </is>
      </c>
      <c r="D94" s="23" t="inlineStr">
        <is>
          <t>On the road another driver gives a brief flash of headlights after you pull out. They don't honk or follow you.</t>
        </is>
      </c>
      <c r="E94" s="23" t="inlineStr">
        <is>
          <t>How do you respond?</t>
        </is>
      </c>
      <c r="F94" s="23" t="inlineStr">
        <is>
          <t>Take it as mild, passing frustration. Give a small wave or nod.</t>
        </is>
      </c>
      <c r="G94" s="23" t="inlineStr">
        <is>
          <t>It's a clear but contained signal, not an invitation to escalate.</t>
        </is>
      </c>
      <c r="H94" s="23" t="inlineStr">
        <is>
          <t>As an aggressive challenge, and confront them.</t>
        </is>
      </c>
      <c r="I94" s="23" t="inlineStr">
        <is>
          <t>That's the common misreading. Responding calmly lets it end there.</t>
        </is>
      </c>
      <c r="J94" s="23" t="inlineStr">
        <is>
          <t>As a friendly greeting.</t>
        </is>
      </c>
      <c r="K94" s="23" t="inlineStr">
        <is>
          <t>It's mild frustration, not a greeting. A small wave or nod acknowledges it.</t>
        </is>
      </c>
      <c r="L94" s="23" t="inlineStr">
        <is>
          <t>Approved</t>
        </is>
      </c>
      <c r="M94" s="23" t="inlineStr">
        <is>
          <t>Bulk-approved by founder; item review pending</t>
        </is>
      </c>
      <c r="N94" s="27" t="inlineStr">
        <is>
          <t>Yes</t>
        </is>
      </c>
      <c r="O94" s="23" t="n"/>
      <c r="P94" s="25">
        <f>MAX(LEN(G94),LEN(I94),LEN(K94))</f>
        <v/>
      </c>
      <c r="Q94" s="26" t="inlineStr">
        <is>
          <t>These are understood as clear but contained frustration signals within the driving culture, not an invitation to escalate into a direct confrontation.</t>
        </is>
      </c>
      <c r="R94" s="26" t="inlineStr">
        <is>
          <t>Read a brief horn tap or headlight flash as mild, passing frustration rather than an escalation, and respond calmly (a small wave or nod) rather than engaging further.</t>
        </is>
      </c>
    </row>
    <row r="95" ht="75" customHeight="1" s="15">
      <c r="A95" s="23" t="inlineStr">
        <is>
          <t>SC-TR-17-a</t>
        </is>
      </c>
      <c r="B95" s="23" t="inlineStr">
        <is>
          <t>TR-17-first-class-carriage-informal-enforcement</t>
        </is>
      </c>
      <c r="C95" s="23" t="inlineStr">
        <is>
          <t>Transport &amp; commuting</t>
        </is>
      </c>
      <c r="D95" s="23" t="inlineStr">
        <is>
          <t>The train is quiet and first class is empty, so you sit there with a standard ticket. The conductor says politely, “This is a first-class carriage. Would you like to upgrade or move to standard?”</t>
        </is>
      </c>
      <c r="E95" s="23" t="inlineStr">
        <is>
          <t>What do you do?</t>
        </is>
      </c>
      <c r="F95" s="23" t="inlineStr">
        <is>
          <t>Move promptly. It's consistently enforced, however empty it looks.</t>
        </is>
      </c>
      <c r="G95" s="23" t="inlineStr">
        <is>
          <t>It's a genuine rule, enforced regardless of how empty first class appears.</t>
        </is>
      </c>
      <c r="H95" s="23" t="inlineStr">
        <is>
          <t>Explain that nobody else is using it.</t>
        </is>
      </c>
      <c r="I95" s="23" t="inlineStr">
        <is>
          <t>The empty seats don't change the rule. It's enforced regardless.</t>
        </is>
      </c>
      <c r="J95" s="23" t="inlineStr">
        <is>
          <t>Stay put, since the request was polite.</t>
        </is>
      </c>
      <c r="K95" s="23" t="inlineStr">
        <is>
          <t>Polite doesn't mean optional. Move to the correct carriage when asked.</t>
        </is>
      </c>
      <c r="L95" s="23" t="inlineStr">
        <is>
          <t>Approved</t>
        </is>
      </c>
      <c r="M95" s="23" t="inlineStr">
        <is>
          <t>Bulk-approved by founder; item review pending</t>
        </is>
      </c>
      <c r="N95" s="24" t="n"/>
      <c r="O95" s="23" t="n"/>
      <c r="P95" s="25">
        <f>MAX(LEN(G95),LEN(I95),LEN(K95))</f>
        <v/>
      </c>
      <c r="Q95" s="26" t="inlineStr">
        <is>
          <t>This is treated as a genuine, consistently enforced rule rather than a loose guideline that depends on how busy the train happens to be.</t>
        </is>
      </c>
      <c r="R95" s="26" t="inlineStr">
        <is>
          <t>Check ticket class before sitting down, and move to the correct carriage promptly if asked, since this is consistently enforced regardless of how empty first class appears.</t>
        </is>
      </c>
    </row>
    <row r="96" ht="61.5" customHeight="1" s="15">
      <c r="A96" s="23" t="inlineStr">
        <is>
          <t>SC-NB-2-a</t>
        </is>
      </c>
      <c r="B96" s="23" t="inlineStr">
        <is>
          <t>NB-2-garden-hedge-boundary-etiquette</t>
        </is>
      </c>
      <c r="C96" s="23" t="inlineStr">
        <is>
          <t>Neighbours &amp; community</t>
        </is>
      </c>
      <c r="D96" s="23" t="inlineStr">
        <is>
          <t>Your neighbour catches you in the garden and says lightly, “The hedge is getting a bit tall on our side, whenever you get a chance.”</t>
        </is>
      </c>
      <c r="E96" s="23" t="inlineStr">
        <is>
          <t>How do you take that?</t>
        </is>
      </c>
      <c r="F96" s="23" t="inlineStr">
        <is>
          <t>As a genuine request. Deal with the hedge soon.</t>
        </is>
      </c>
      <c r="G96" s="23" t="inlineStr">
        <is>
          <t>This casual approach is the expected first step. It's polite, but it is a request.</t>
        </is>
      </c>
      <c r="H96" s="23" t="inlineStr">
        <is>
          <t>As small talk that needs no action.</t>
        </is>
      </c>
      <c r="I96" s="23" t="inlineStr">
        <is>
          <t>The light wording is how the request is made. Ignoring it can lead to something more formal.</t>
        </is>
      </c>
      <c r="J96" s="23" t="inlineStr">
        <is>
          <t>Wait for a formal letter before doing anything.</t>
        </is>
      </c>
      <c r="K96" s="23" t="inlineStr">
        <is>
          <t>Formal steps only come if the casual approach changes nothing, so waiting for one means missing the actual request.</t>
        </is>
      </c>
      <c r="L96" s="23" t="inlineStr">
        <is>
          <t>Approved</t>
        </is>
      </c>
      <c r="M96" s="23" t="inlineStr">
        <is>
          <t>Reviewed and approved by founder</t>
        </is>
      </c>
      <c r="N96" s="24" t="n"/>
      <c r="O96" s="23" t="n"/>
      <c r="P96" s="25">
        <f>MAX(LEN(G96),LEN(I96),LEN(K96))</f>
        <v/>
      </c>
      <c r="Q96" s="26" t="inlineStr">
        <is>
          <t>This indirect first approach is the expected initial step — escalating quickly to something formal without first raising it casually can come across as overly confrontational.</t>
        </is>
      </c>
      <c r="R96" s="26" t="inlineStr">
        <is>
          <t>Raise a boundary or hedge issue casually and lightly with a neighbour directly first, and reserve anything more formal for if the casual approach doesn't lead to any change.</t>
        </is>
      </c>
    </row>
    <row r="97" ht="61.5" customHeight="1" s="15">
      <c r="A97" s="23" t="inlineStr">
        <is>
          <t>SC-NB-8-a</t>
        </is>
      </c>
      <c r="B97" s="23" t="inlineStr">
        <is>
          <t>NB-8-parking-outside-someones-house-etiquette</t>
        </is>
      </c>
      <c r="C97" s="23" t="inlineStr">
        <is>
          <t>Neighbours &amp; community</t>
        </is>
      </c>
      <c r="D97" s="23" t="inlineStr">
        <is>
          <t>You've parked outside the same house most days. The neighbour smiles as you walk past and says: “Oh, I see you've found our spot!”</t>
        </is>
      </c>
      <c r="E97" s="23" t="inlineStr">
        <is>
          <t>What does that mean?</t>
        </is>
      </c>
      <c r="F97" s="23" t="inlineStr">
        <is>
          <t>A pointed, indirect hint. Avoid parking there regularly.</t>
        </is>
      </c>
      <c r="G97" s="23" t="inlineStr">
        <is>
          <t>There's no legal claim to the space, but a strong informal expectation that residents respect.</t>
        </is>
      </c>
      <c r="H97" s="23" t="inlineStr">
        <is>
          <t>A friendly welcome to the street.</t>
        </is>
      </c>
      <c r="I97" s="23" t="inlineStr">
        <is>
          <t>The smile is polite, but the comment is a quiet complaint.</t>
        </is>
      </c>
      <c r="J97" s="23" t="inlineStr">
        <is>
          <t>A warning that you're breaking the law.</t>
        </is>
      </c>
      <c r="K97" s="23" t="inlineStr">
        <is>
          <t>No law is broken. It's an informal expectation, which is why it comes as a hint.</t>
        </is>
      </c>
      <c r="L97" s="23" t="inlineStr">
        <is>
          <t>Approved</t>
        </is>
      </c>
      <c r="M97" s="23" t="inlineStr">
        <is>
          <t>Reviewed and approved by founder</t>
        </is>
      </c>
      <c r="N97" s="24" t="n"/>
      <c r="O97" s="23" t="n"/>
      <c r="P97" s="25">
        <f>MAX(LEN(G97),LEN(I97),LEN(K97))</f>
        <v/>
      </c>
      <c r="Q97" s="26" t="inlineStr">
        <is>
          <t>There's no legal entitlement to the space directly outside one's own house, but there's a strong informal social expectation around it that residents generally respect anyway.</t>
        </is>
      </c>
      <c r="R97" s="26" t="inlineStr">
        <is>
          <t>Where possible, avoid consistently parking directly outside a specific neighbour's house, even where legally permitted, to avoid this common source of quiet friction.</t>
        </is>
      </c>
    </row>
    <row r="98" ht="61.5" customHeight="1" s="15">
      <c r="A98" s="23" t="inlineStr">
        <is>
          <t>SC-NB-14-a</t>
        </is>
      </c>
      <c r="B98" s="23" t="inlineStr">
        <is>
          <t>NB-14-loud-music-unwritten-curfew-hours</t>
        </is>
      </c>
      <c r="C98" s="23" t="inlineStr">
        <is>
          <t>Neighbours &amp; community</t>
        </is>
      </c>
      <c r="D98" s="23" t="inlineStr">
        <is>
          <t>It's gone 11:30 on a weeknight and your music is at a normal volume. There's a polite knock: “Sorry to bother you, just wondering if you could turn the music down a bit.”</t>
        </is>
      </c>
      <c r="E98" s="23" t="inlineStr">
        <is>
          <t>What do you do?</t>
        </is>
      </c>
      <c r="F98" s="23" t="inlineStr">
        <is>
          <t>Turn it down now, and keep noise down by around 11pm on weeknights from then on.</t>
        </is>
      </c>
      <c r="G98" s="23" t="inlineStr">
        <is>
          <t>The curfew is unwritten but widely observed, and enforced socially.</t>
        </is>
      </c>
      <c r="H98" s="23" t="inlineStr">
        <is>
          <t>Point out that no rule says you have to.</t>
        </is>
      </c>
      <c r="I98" s="23" t="inlineStr">
        <is>
          <t>No written rule doesn't mean no expectation. This one is genuinely widely observed.</t>
        </is>
      </c>
      <c r="J98" s="23" t="inlineStr">
        <is>
          <t>Turn it down a little and carry on.</t>
        </is>
      </c>
      <c r="K98" s="23" t="inlineStr">
        <is>
          <t>A polite knock like this is pointed. The expectation is real, even if nobody states a rule.</t>
        </is>
      </c>
      <c r="L98" s="23" t="inlineStr">
        <is>
          <t>Approved</t>
        </is>
      </c>
      <c r="M98" s="23" t="inlineStr">
        <is>
          <t>Reviewed and approved by founder</t>
        </is>
      </c>
      <c r="N98" s="24" t="n"/>
      <c r="O98" s="23" t="n"/>
      <c r="P98" s="25">
        <f>MAX(LEN(G98),LEN(I98),LEN(K98))</f>
        <v/>
      </c>
      <c r="Q98" s="26" t="inlineStr">
        <is>
          <t>The absence of a written rule doesn't mean there's no real expectation — this unwritten curfew is genuinely, widely observed and enforced socially.</t>
        </is>
      </c>
      <c r="R98" s="26" t="inlineStr">
        <is>
          <t>As a general default, keep noise down by around 11pm on weeknights (a bit later at weekends), even with no explicit rule stated, to avoid this common source of neighbourly friction.</t>
        </is>
      </c>
    </row>
    <row r="99" ht="61.5" customHeight="1" s="15">
      <c r="A99" s="23" t="inlineStr">
        <is>
          <t>SC-NB-1-a</t>
        </is>
      </c>
      <c r="B99" s="23" t="inlineStr">
        <is>
          <t>NB-1-bin-collection-day-strictness</t>
        </is>
      </c>
      <c r="C99" s="23" t="inlineStr">
        <is>
          <t>Neighbours &amp; community</t>
        </is>
      </c>
      <c r="D99" s="23" t="inlineStr">
        <is>
          <t>You put your bin out on the wrong day. It's left uncollected with a small sticker and no personal note.</t>
        </is>
      </c>
      <c r="E99" s="23" t="inlineStr">
        <is>
          <t>How do you read it?</t>
        </is>
      </c>
      <c r="F99" s="23" t="inlineStr">
        <is>
          <t>As the standard council process. Check the collection calendar for your exact address.</t>
        </is>
      </c>
      <c r="G99" s="23" t="inlineStr">
        <is>
          <t>The lack of a personal warning reflects scale and standard process, not you being targeted.</t>
        </is>
      </c>
      <c r="H99" s="23" t="inlineStr">
        <is>
          <t>As a neighbour complaining about you.</t>
        </is>
      </c>
      <c r="I99" s="23" t="inlineStr">
        <is>
          <t>It's the council's process, not a personal complaint.</t>
        </is>
      </c>
      <c r="J99" s="23" t="inlineStr">
        <is>
          <t>As a mistake to ignore, since bins get collected eventually.</t>
        </is>
      </c>
      <c r="K99" s="23" t="inlineStr">
        <is>
          <t>Collection days vary by street and change with holidays. Check your own calendar.</t>
        </is>
      </c>
      <c r="L99" s="23" t="inlineStr">
        <is>
          <t>Approved</t>
        </is>
      </c>
      <c r="M99" s="23" t="inlineStr">
        <is>
          <t>Bulk-approved by founder; item review pending</t>
        </is>
      </c>
      <c r="N99" s="24" t="n"/>
      <c r="O99" s="23" t="n"/>
      <c r="P99" s="25">
        <f>MAX(LEN(G99),LEN(I99),LEN(K99))</f>
        <v/>
      </c>
      <c r="Q99" s="26" t="inlineStr">
        <is>
          <t>The lack of a direct, personal warning reflects the scale and standard process of council waste collection, not a decision specifically targeting that household.</t>
        </is>
      </c>
      <c r="R99" s="26" t="inlineStr">
        <is>
          <t>Check the specific council collection calendar for the exact address, since bin days and which bin is collected can vary street by street and change with public holidays.</t>
        </is>
      </c>
    </row>
    <row r="100" ht="75" customHeight="1" s="15">
      <c r="A100" s="23" t="inlineStr">
        <is>
          <t>SC-NB-3-a</t>
        </is>
      </c>
      <c r="B100" s="23" t="inlineStr">
        <is>
          <t>NB-3-neighbourhood-facebook-group-norms</t>
        </is>
      </c>
      <c r="C100" s="23" t="inlineStr">
        <is>
          <t>Neighbours &amp; community</t>
        </is>
      </c>
      <c r="D100" s="23" t="inlineStr">
        <is>
          <t>In the neighbourhood Facebook group you post a strongly worded opinion on a local political issue. Cool comments appear, and an admin removes the post.</t>
        </is>
      </c>
      <c r="E100" s="23" t="inlineStr">
        <is>
          <t>What does that tell you?</t>
        </is>
      </c>
      <c r="F100" s="23" t="inlineStr">
        <is>
          <t>The group has unwritten norms. Observe its tone before posting opinions.</t>
        </is>
      </c>
      <c r="G100" s="23" t="inlineStr">
        <is>
          <t>These norms are informal but really enforced, and off-topic posts draw a cool response.</t>
        </is>
      </c>
      <c r="H100" s="23" t="inlineStr">
        <is>
          <t>The admin is being unfair, so repost it.</t>
        </is>
      </c>
      <c r="I100" s="23" t="inlineStr">
        <is>
          <t>The norms are informal but real. Reposting would likely draw the same reaction.</t>
        </is>
      </c>
      <c r="J100" s="23" t="inlineStr">
        <is>
          <t>Nobody in the group cares about local issues.</t>
        </is>
      </c>
      <c r="K100" s="23" t="inlineStr">
        <is>
          <t>More likely it's the wrong place. Such groups tend to stick to practical, local topics.</t>
        </is>
      </c>
      <c r="L100" s="23" t="inlineStr">
        <is>
          <t>Approved</t>
        </is>
      </c>
      <c r="M100" s="23" t="inlineStr">
        <is>
          <t>Bulk-approved by founder; item review pending</t>
        </is>
      </c>
      <c r="N100" s="24" t="n"/>
      <c r="O100" s="23" t="n"/>
      <c r="P100" s="25">
        <f>MAX(LEN(G100),LEN(I100),LEN(K100))</f>
        <v/>
      </c>
      <c r="Q100" s="26" t="inlineStr">
        <is>
          <t>These norms are genuinely, if informally, enforced, and posts outside the expected range can draw a noticeably cool or corrective response from the group.</t>
        </is>
      </c>
      <c r="R100" s="26" t="inlineStr">
        <is>
          <t>Observe the general tone and typical topics of a local community group for a while before posting anything opinionated, and keep contributions practical and local (recommendations, lost items, local news).</t>
        </is>
      </c>
    </row>
    <row r="101" ht="75" customHeight="1" s="15">
      <c r="A101" s="23" t="inlineStr">
        <is>
          <t>SC-NB-4-a</t>
        </is>
      </c>
      <c r="B101" s="23" t="inlineStr">
        <is>
          <t>NB-4-brief-hello-not-deep-conversation-norm</t>
        </is>
      </c>
      <c r="C101" s="23" t="inlineStr">
        <is>
          <t>Neighbours &amp; community</t>
        </is>
      </c>
      <c r="D101" s="23" t="inlineStr">
        <is>
          <t>You see your neighbour most mornings. To be friendly, you stop for a long chat every time.</t>
        </is>
      </c>
      <c r="E101" s="23" t="inlineStr">
        <is>
          <t>What would they expect?</t>
        </is>
      </c>
      <c r="F101" s="23" t="inlineStr">
        <is>
          <t>A brief, warm greeting each time, with longer chats now and then.</t>
        </is>
      </c>
      <c r="G101" s="23" t="inlineStr">
        <is>
          <t>Brevity is a comfortable default that reflects reserve, not coldness.</t>
        </is>
      </c>
      <c r="H101" s="23" t="inlineStr">
        <is>
          <t>Even longer chats, to show you care.</t>
        </is>
      </c>
      <c r="I101" s="23" t="inlineStr">
        <is>
          <t>Forcing long conversations each time tends to feel less comfortable.</t>
        </is>
      </c>
      <c r="J101" s="23" t="inlineStr">
        <is>
          <t>Silence, to respect their privacy.</t>
        </is>
      </c>
      <c r="K101" s="23" t="inlineStr">
        <is>
          <t>A brief, warm greeting is the expected minimum.</t>
        </is>
      </c>
      <c r="L101" s="23" t="inlineStr">
        <is>
          <t>Approved</t>
        </is>
      </c>
      <c r="M101" s="23" t="inlineStr">
        <is>
          <t>Bulk-approved by founder; item review pending</t>
        </is>
      </c>
      <c r="N101" s="24" t="n"/>
      <c r="O101" s="23" t="n"/>
      <c r="P101" s="25">
        <f>MAX(LEN(G101),LEN(I101),LEN(K101))</f>
        <v/>
      </c>
      <c r="Q101" s="26" t="inlineStr">
        <is>
          <t>This brevity is a comfortable social default reflecting general reserve, not coldness or a specific signal about how the neighbour feels about the relationship.</t>
        </is>
      </c>
      <c r="R101" s="26" t="inlineStr">
        <is>
          <t>A brief, warm greeting each time is generally the expected and most comfortable interaction; longer conversations tend to happen occasionally and more naturally rather than being forced every time.</t>
        </is>
      </c>
    </row>
    <row r="102" ht="75" customHeight="1" s="15">
      <c r="A102" s="23" t="inlineStr">
        <is>
          <t>SC-NB-7-a</t>
        </is>
      </c>
      <c r="B102" s="23" t="inlineStr">
        <is>
          <t>NB-7-borrowing-small-items-from-neighbours</t>
        </is>
      </c>
      <c r="C102" s="23" t="inlineStr">
        <is>
          <t>Neighbours &amp; community</t>
        </is>
      </c>
      <c r="D102" s="23" t="inlineStr">
        <is>
          <t>A neighbour lends you a small tool with no return date. You keep it for several weeks.</t>
        </is>
      </c>
      <c r="E102" s="23" t="inlineStr">
        <is>
          <t>What would have been better?</t>
        </is>
      </c>
      <c r="F102" s="23" t="inlineStr">
        <is>
          <t>Return it within a few days, perhaps with a small thank-you.</t>
        </is>
      </c>
      <c r="G102" s="23" t="inlineStr">
        <is>
          <t>No return date doesn't mean no expectation. A delayed return is noticed.</t>
        </is>
      </c>
      <c r="H102" s="23" t="inlineStr">
        <is>
          <t>Keep it until they ask for it back.</t>
        </is>
      </c>
      <c r="I102" s="23" t="inlineStr">
        <is>
          <t>They may not ask, but a long delay is noticed all the same.</t>
        </is>
      </c>
      <c r="J102" s="23" t="inlineStr">
        <is>
          <t>Hold on until you've used it for everything you need.</t>
        </is>
      </c>
      <c r="K102" s="23" t="inlineStr">
        <is>
          <t>Within a few days is the usual expectation, even without a stated deadline.</t>
        </is>
      </c>
      <c r="L102" s="23" t="inlineStr">
        <is>
          <t>Approved</t>
        </is>
      </c>
      <c r="M102" s="23" t="inlineStr">
        <is>
          <t>Bulk-approved by founder; item review pending</t>
        </is>
      </c>
      <c r="N102" s="27" t="inlineStr">
        <is>
          <t>Yes</t>
        </is>
      </c>
      <c r="O102" s="23" t="n"/>
      <c r="P102" s="25">
        <f>MAX(LEN(G102),LEN(I102),LEN(K102))</f>
        <v/>
      </c>
      <c r="Q102" s="26" t="inlineStr">
        <is>
          <t>The lack of an explicit return date doesn't mean there's no real expectation — a delayed or forgotten return, even of something small, is genuinely noticed.</t>
        </is>
      </c>
      <c r="R102" s="26" t="inlineStr">
        <is>
          <t>Return a borrowed item within a few days at most, even if no explicit deadline was given, and consider a small thank-you gesture (a card, some baking) for anything beyond a trivial loan.</t>
        </is>
      </c>
    </row>
    <row r="103" ht="61.5" customHeight="1" s="15">
      <c r="A103" s="23" t="inlineStr">
        <is>
          <t>SC-NB-9-a</t>
        </is>
      </c>
      <c r="B103" s="23" t="inlineStr">
        <is>
          <t>NB-9-community-bake-sale-fundraiser-participation</t>
        </is>
      </c>
      <c r="C103" s="23" t="inlineStr">
        <is>
          <t>Neighbours &amp; community</t>
        </is>
      </c>
      <c r="D103" s="23" t="inlineStr">
        <is>
          <t>A note from school calls the bake sale “optional” and lists what to bring. You skip every one.</t>
        </is>
      </c>
      <c r="E103" s="23" t="inlineStr">
        <is>
          <t>What's the unstated expectation?</t>
        </is>
      </c>
      <c r="F103" s="23" t="inlineStr">
        <is>
          <t>Take part in a small way, such as buying something.</t>
        </is>
      </c>
      <c r="G103" s="23" t="inlineStr">
        <is>
          <t>It's technically optional, but near-universal participation is the real norm.</t>
        </is>
      </c>
      <c r="H103" s="23" t="inlineStr">
        <is>
          <t>None. Optional means optional.</t>
        </is>
      </c>
      <c r="I103" s="23" t="inlineStr">
        <is>
          <t>Consistently opting out can be quietly noticed, even though it's allowed.</t>
        </is>
      </c>
      <c r="J103" s="23" t="inlineStr">
        <is>
          <t>Bake something elaborate, to make up for it.</t>
        </is>
      </c>
      <c r="K103" s="23" t="inlineStr">
        <is>
          <t>Light participation is enough. Buying an item counts.</t>
        </is>
      </c>
      <c r="L103" s="23" t="inlineStr">
        <is>
          <t>Approved</t>
        </is>
      </c>
      <c r="M103" s="23" t="inlineStr">
        <is>
          <t>Bulk-approved by founder; item review pending</t>
        </is>
      </c>
      <c r="N103" s="24" t="n"/>
      <c r="O103" s="23" t="n"/>
      <c r="P103" s="25">
        <f>MAX(LEN(G103),LEN(I103),LEN(K103))</f>
        <v/>
      </c>
      <c r="Q103" s="26" t="inlineStr">
        <is>
          <t>The stated optionality is technically accurate but socially, near-universal participation is the actual norm, and consistently opting out entirely can be quietly noticed.</t>
        </is>
      </c>
      <c r="R103" s="26" t="inlineStr">
        <is>
          <t>Participate in some small way (buying an item, even if not baking) at community fundraisers marked as optional, since light participation is the real, if unstated, expectation.</t>
        </is>
      </c>
    </row>
    <row r="104" ht="75" customHeight="1" s="15">
      <c r="A104" s="23" t="inlineStr">
        <is>
          <t>SC-NB-10-a</t>
        </is>
      </c>
      <c r="B104" s="23" t="inlineStr">
        <is>
          <t>NB-10-antisocial-behaviour-council-line-reporting</t>
        </is>
      </c>
      <c r="C104" s="23" t="inlineStr">
        <is>
          <t>Neighbours &amp; community</t>
        </is>
      </c>
      <c r="D104" s="23" t="inlineStr">
        <is>
          <t>A neighbour's noise continues after you've asked politely twice. You hesitate to report it to the council.</t>
        </is>
      </c>
      <c r="E104" s="23" t="inlineStr">
        <is>
          <t>What do you do?</t>
        </is>
      </c>
      <c r="F104" s="23" t="inlineStr">
        <is>
          <t>Use the council's non-emergency line. It's a normal, proportionate step.</t>
        </is>
      </c>
      <c r="G104" s="23" t="inlineStr">
        <is>
          <t>After one or two direct attempts, using the formal channel is what most residents would do.</t>
        </is>
      </c>
      <c r="H104" s="23" t="inlineStr">
        <is>
          <t>Keep asking politely, since reporting would be aggressive.</t>
        </is>
      </c>
      <c r="I104" s="23" t="inlineStr">
        <is>
          <t>It isn't aggressive. This channel exists for ongoing problems.</t>
        </is>
      </c>
      <c r="J104" s="23" t="inlineStr">
        <is>
          <t>Call the emergency police line.</t>
        </is>
      </c>
      <c r="K104" s="23" t="inlineStr">
        <is>
          <t>That's for emergencies. The council has a separate non-emergency channel for this.</t>
        </is>
      </c>
      <c r="L104" s="23" t="inlineStr">
        <is>
          <t>Approved</t>
        </is>
      </c>
      <c r="M104" s="23" t="inlineStr">
        <is>
          <t>Bulk-approved by founder; item review pending</t>
        </is>
      </c>
      <c r="N104" s="24" t="n"/>
      <c r="O104" s="23" t="n"/>
      <c r="P104" s="25">
        <f>MAX(LEN(G104),LEN(I104),LEN(K104))</f>
        <v/>
      </c>
      <c r="Q104" s="26" t="inlineStr">
        <is>
          <t>Using this formal channel is a normal, non-confrontational step that most residents would take, not an unusually aggressive escalation of the issue.</t>
        </is>
      </c>
      <c r="R104" s="26" t="inlineStr">
        <is>
          <t>After one or two direct, polite attempts to resolve a persistent issue directly with a neighbour, it's normal and appropriate to use the council's non-emergency reporting line if it continues.</t>
        </is>
      </c>
    </row>
    <row r="105" ht="61.5" customHeight="1" s="15">
      <c r="A105" s="23" t="inlineStr">
        <is>
          <t>SC-NB-13-a</t>
        </is>
      </c>
      <c r="B105" s="23" t="inlineStr">
        <is>
          <t>NB-13-recycling-sorting-strictness</t>
        </is>
      </c>
      <c r="C105" s="23" t="inlineStr">
        <is>
          <t>Neighbours &amp; community</t>
        </is>
      </c>
      <c r="D105" s="23" t="inlineStr">
        <is>
          <t>Your recycling bin is left uncollected with a “contamination” sticker. There was no personal warning.</t>
        </is>
      </c>
      <c r="E105" s="23" t="inlineStr">
        <is>
          <t>How do you read it?</t>
        </is>
      </c>
      <c r="F105" s="23" t="inlineStr">
        <is>
          <t>As council policy. Check your council's recycling guidance carefully.</t>
        </is>
      </c>
      <c r="G105" s="23" t="inlineStr">
        <is>
          <t>It's uniformly applied policy, not a complaint about your household.</t>
        </is>
      </c>
      <c r="H105" s="23" t="inlineStr">
        <is>
          <t>As a neighbour reporting you.</t>
        </is>
      </c>
      <c r="I105" s="23" t="inlineStr">
        <is>
          <t>It's the collection crew following a standard rule.</t>
        </is>
      </c>
      <c r="J105" s="23" t="inlineStr">
        <is>
          <t>As a one-off, so put the bin out again unchanged.</t>
        </is>
      </c>
      <c r="K105" s="23" t="inlineStr">
        <is>
          <t>Rules vary between councils. Check what yours accepts, including rinsing requirements.</t>
        </is>
      </c>
      <c r="L105" s="23" t="inlineStr">
        <is>
          <t>Approved</t>
        </is>
      </c>
      <c r="M105" s="23" t="inlineStr">
        <is>
          <t>Bulk-approved by founder; item review pending</t>
        </is>
      </c>
      <c r="N105" s="27" t="inlineStr">
        <is>
          <t>Yes</t>
        </is>
      </c>
      <c r="O105" s="23" t="n"/>
      <c r="P105" s="25">
        <f>MAX(LEN(G105),LEN(I105),LEN(K105))</f>
        <v/>
      </c>
      <c r="Q105" s="26" t="inlineStr">
        <is>
          <t>This reflects standard, uniformly applied council recycling policy rather than a specific complaint or targeted action against that household.</t>
        </is>
      </c>
      <c r="R105" s="26" t="inlineStr">
        <is>
          <t>Check the specific council's recycling guidance carefully (rinsing requirements, accepted materials), since rules can vary noticeably between different local councils.</t>
        </is>
      </c>
    </row>
    <row r="106" ht="75" customHeight="1" s="15">
      <c r="A106" s="23" t="inlineStr">
        <is>
          <t>SC-CS-12-a</t>
        </is>
      </c>
      <c r="B106" s="23" t="inlineStr">
        <is>
          <t>CS-12-apologising-while-complaining-norm</t>
        </is>
      </c>
      <c r="C106" s="23" t="inlineStr">
        <is>
          <t>Customer service &amp; retail</t>
        </is>
      </c>
      <c r="D106" s="23" t="inlineStr">
        <is>
          <t>You're on your first shift in a café. A customer says: “Sorry to make a fuss, but I think there might be a mistake on my bill.”</t>
        </is>
      </c>
      <c r="E106" s="23" t="inlineStr">
        <is>
          <t>How seriously do you take it?</t>
        </is>
      </c>
      <c r="F106" s="23" t="inlineStr">
        <is>
          <t>At full face value. The apology is about tone, not about how serious the issue is.</t>
        </is>
      </c>
      <c r="G106" s="23" t="inlineStr">
        <is>
          <t>The soft opening is a social convention for raising a problem politely.</t>
        </is>
      </c>
      <c r="H106" s="23" t="inlineStr">
        <is>
          <t>Assume it's minor, because they sound so apologetic.</t>
        </is>
      </c>
      <c r="I106" s="23" t="inlineStr">
        <is>
          <t>That's the common misreading. A soft opening says nothing about how big the problem is.</t>
        </is>
      </c>
      <c r="J106" s="23" t="inlineStr">
        <is>
          <t>Ask whether they're sure, since they seem unsure.</t>
        </is>
      </c>
      <c r="K106" s="23" t="inlineStr">
        <is>
          <t>The softness is politeness, not doubt, so check the bill properly.</t>
        </is>
      </c>
      <c r="L106" s="23" t="inlineStr">
        <is>
          <t>Approved</t>
        </is>
      </c>
      <c r="M106" s="23" t="inlineStr">
        <is>
          <t>Reviewed and approved by founder</t>
        </is>
      </c>
      <c r="N106" s="24" t="n"/>
      <c r="O106" s="23" t="n"/>
      <c r="P106" s="25">
        <f>MAX(LEN(G106),LEN(I106),LEN(K106))</f>
        <v/>
      </c>
      <c r="Q106" s="26" t="inlineStr">
        <is>
          <t>The apologetic framing is a social convention for raising the issue politely, not a sign the customer themselves views the complaint as minor or unwarranted.</t>
        </is>
      </c>
      <c r="R106" s="26" t="inlineStr">
        <is>
          <t>Take the substance of an apologetically-framed complaint at full face value, regardless of the soft opening — the apology is about tone, not about how serious the underlying issue actually is.</t>
        </is>
      </c>
    </row>
    <row r="107" ht="75" customHeight="1" s="15">
      <c r="A107" s="23" t="inlineStr">
        <is>
          <t>SC-CS-13-a</t>
        </is>
      </c>
      <c r="B107" s="23" t="inlineStr">
        <is>
          <t>CS-13-is-everything-alright-scripted-checkin</t>
        </is>
      </c>
      <c r="C107" s="23" t="inlineStr">
        <is>
          <t>Customer service &amp; retail</t>
        </is>
      </c>
      <c r="D107" s="23" t="inlineStr">
        <is>
          <t>Halfway through your meal the server asks, “Is everything alright with your meal?” Your pasta is cold.</t>
        </is>
      </c>
      <c r="E107" s="23" t="inlineStr">
        <is>
          <t>What do you say?</t>
        </is>
      </c>
      <c r="F107" s="23" t="inlineStr">
        <is>
          <t>Say it plainly: “Actually, this is a bit cold.”</t>
        </is>
      </c>
      <c r="G107" s="23" t="inlineStr">
        <is>
          <t>A real issue has to be stated plainly and specifically to register.</t>
        </is>
      </c>
      <c r="H107" s="23" t="inlineStr">
        <is>
          <t>Say “Yeah, it's... fine” and hope they notice your hesitation.</t>
        </is>
      </c>
      <c r="I107" s="23" t="inlineStr">
        <is>
          <t>The server hears a positive-sounding answer and moves on. Tone alone won't register.</t>
        </is>
      </c>
      <c r="J107" s="23" t="inlineStr">
        <is>
          <t>Say “great, thanks” and leave the plate half-eaten, expecting them to notice.</t>
        </is>
      </c>
      <c r="K107" s="23" t="inlineStr">
        <is>
          <t>The check-in is routine, and a brief positive reply ends it. The server won't probe further.</t>
        </is>
      </c>
      <c r="L107" s="23" t="inlineStr">
        <is>
          <t>Approved</t>
        </is>
      </c>
      <c r="M107" s="23" t="inlineStr">
        <is>
          <t>Reviewed and approved by founder</t>
        </is>
      </c>
      <c r="N107" s="24" t="n"/>
      <c r="O107" s="23" t="n"/>
      <c r="P107" s="25">
        <f>MAX(LEN(G107),LEN(I107),LEN(K107))</f>
        <v/>
      </c>
      <c r="Q107" s="26" t="inlineStr">
        <is>
          <t>The scripted nature of the question means a server won't necessarily probe further even if a diner's tone seems slightly uncertain — a real issue needs to be stated plainly to register.</t>
        </is>
      </c>
      <c r="R107" s="26" t="inlineStr">
        <is>
          <t>If there's a genuine issue with the meal, state it plainly and specifically when asked ("actually, this is a bit cold") rather than hinting at it through tone alone.</t>
        </is>
      </c>
    </row>
    <row r="108" ht="75" customHeight="1" s="15">
      <c r="A108" s="23" t="inlineStr">
        <is>
          <t>SC-CS-14-a</t>
        </is>
      </c>
      <c r="B108" s="23" t="inlineStr">
        <is>
          <t>CS-14-price-match-policy-active-request-needed</t>
        </is>
      </c>
      <c r="C108" s="23" t="inlineStr">
        <is>
          <t>Customer service &amp; retail</t>
        </is>
      </c>
      <c r="D108" s="23" t="inlineStr">
        <is>
          <t>You're at the till, about to pay full price for a TV. On your phone another shop has it cheaper. This store's website mentions a “price match” policy in small print, but nobody at the till has mentioned it.</t>
        </is>
      </c>
      <c r="E108" s="23" t="inlineStr">
        <is>
          <t>What do you do?</t>
        </is>
      </c>
      <c r="F108" s="23" t="inlineStr">
        <is>
          <t>Ask directly: “Do you price match? I've seen this cheaper elsewhere,” and show the price.</t>
        </is>
      </c>
      <c r="G108" s="23" t="inlineStr">
        <is>
          <t>The policy is real and usually honoured, but it relies on you raising it with evidence.</t>
        </is>
      </c>
      <c r="H108" s="23" t="inlineStr">
        <is>
          <t>Pay full price. If the policy applied, they'd have mentioned it.</t>
        </is>
      </c>
      <c r="I108" s="23" t="inlineStr">
        <is>
          <t>Staff don't offer it. The policy relies entirely on the customer asking.</t>
        </is>
      </c>
      <c r="J108" s="23" t="inlineStr">
        <is>
          <t>Wait for the cashier to check other shops' prices.</t>
        </is>
      </c>
      <c r="K108" s="23" t="inlineStr">
        <is>
          <t>Staff don't check competitor prices themselves. It's up to you to raise it, with proof.</t>
        </is>
      </c>
      <c r="L108" s="23" t="inlineStr">
        <is>
          <t>Approved</t>
        </is>
      </c>
      <c r="M108" s="23" t="inlineStr">
        <is>
          <t>Reviewed and approved by founder</t>
        </is>
      </c>
      <c r="N108" s="24" t="n"/>
      <c r="O108" s="23" t="n"/>
      <c r="P108" s="25">
        <f>MAX(LEN(G108),LEN(I108),LEN(K108))</f>
        <v/>
      </c>
      <c r="Q108" s="26" t="inlineStr">
        <is>
          <t>The policy genuinely exists and is honored, but relies entirely on the customer proactively raising it with evidence, rather than staff checking competitor prices themselves.</t>
        </is>
      </c>
      <c r="R108" s="26" t="inlineStr">
        <is>
          <t>If aware of a lower price elsewhere, ask directly at the till: "Do you price match? I've seen this cheaper at [competitor]" — most retailers with the policy will honor it on request.</t>
        </is>
      </c>
    </row>
    <row r="109" ht="61.5" customHeight="1" s="15">
      <c r="A109" s="23" t="inlineStr">
        <is>
          <t>SC-CS-1-a</t>
        </is>
      </c>
      <c r="B109" s="23" t="inlineStr">
        <is>
          <t>CS-1-no-worries-service-staff-filler</t>
        </is>
      </c>
      <c r="C109" s="23" t="inlineStr">
        <is>
          <t>Customer service &amp; retail</t>
        </is>
      </c>
      <c r="D109" s="23" t="inlineStr">
        <is>
          <t>You apologise to a shop assistant for a genuine mistake and she says, “No worries!” You're not sure the issue is actually sorted.</t>
        </is>
      </c>
      <c r="E109" s="23" t="inlineStr">
        <is>
          <t>What do you do?</t>
        </is>
      </c>
      <c r="F109" s="23" t="inlineStr">
        <is>
          <t>Check directly: “So just to check, is that all sorted now?”</t>
        </is>
      </c>
      <c r="G109" s="23" t="inlineStr">
        <is>
          <t>“No worries” is a reflex, not confirmation that the specific issue is resolved.</t>
        </is>
      </c>
      <c r="H109" s="23" t="inlineStr">
        <is>
          <t>Take it as confirmation and leave.</t>
        </is>
      </c>
      <c r="I109" s="23" t="inlineStr">
        <is>
          <t>It's a light social phrase said after almost anything.</t>
        </is>
      </c>
      <c r="J109" s="23" t="inlineStr">
        <is>
          <t>Take it as a sign she's annoyed.</t>
        </is>
      </c>
      <c r="K109" s="23" t="inlineStr">
        <is>
          <t>It's automatic, not a signal either way. Ask if you need certainty.</t>
        </is>
      </c>
      <c r="L109" s="23" t="inlineStr">
        <is>
          <t>Approved</t>
        </is>
      </c>
      <c r="M109" s="23" t="inlineStr">
        <is>
          <t>Bulk-approved by founder; item review pending</t>
        </is>
      </c>
      <c r="N109" s="24" t="n"/>
      <c r="O109" s="23" t="n"/>
      <c r="P109" s="25">
        <f>MAX(LEN(G109),LEN(I109),LEN(K109))</f>
        <v/>
      </c>
      <c r="Q109" s="26" t="inlineStr">
        <is>
          <t>This phrase is a light social lubricant rather than a considered response, and shouldn't be read as confirming or addressing the specific content of what was said.</t>
        </is>
      </c>
      <c r="R109" s="26" t="inlineStr">
        <is>
          <t>If a specific issue genuinely needs confirming as resolved, ask directly: "So just to check, is that all sorted now?" rather than relying on a reflexive "no worries" as confirmation.</t>
        </is>
      </c>
    </row>
    <row r="110" ht="61.5" customHeight="1" s="15">
      <c r="A110" s="23" t="inlineStr">
        <is>
          <t>SC-CS-2-a</t>
        </is>
      </c>
      <c r="B110" s="23" t="inlineStr">
        <is>
          <t>CS-2-returns-policy-receipt-strictness</t>
        </is>
      </c>
      <c r="C110" s="23" t="inlineStr">
        <is>
          <t>Customer service &amp; retail</t>
        </is>
      </c>
      <c r="D110" s="23" t="inlineStr">
        <is>
          <t>You try to return an item without a receipt. The sign says “proof of purchase required” and the staff member, who seems sympathetic, says no.</t>
        </is>
      </c>
      <c r="E110" s="23" t="inlineStr">
        <is>
          <t>How do you read this?</t>
        </is>
      </c>
      <c r="F110" s="23" t="inlineStr">
        <is>
          <t>As fixed policy she can't change. Keep receipts in future.</t>
        </is>
      </c>
      <c r="G110" s="23" t="inlineStr">
        <is>
          <t>She has little personal discretion over the policy, so it isn't personal unhelpfulness.</t>
        </is>
      </c>
      <c r="H110" s="23" t="inlineStr">
        <is>
          <t>As her being deliberately unhelpful.</t>
        </is>
      </c>
      <c r="I110" s="23" t="inlineStr">
        <is>
          <t>It's company policy, and most staff can't make exceptions.</t>
        </is>
      </c>
      <c r="J110" s="23" t="inlineStr">
        <is>
          <t>As an opening to argue for an exception.</t>
        </is>
      </c>
      <c r="K110" s="23" t="inlineStr">
        <is>
          <t>Staff generally can't override it. Check the returns policy before you buy.</t>
        </is>
      </c>
      <c r="L110" s="23" t="inlineStr">
        <is>
          <t>Approved</t>
        </is>
      </c>
      <c r="M110" s="23" t="inlineStr">
        <is>
          <t>Bulk-approved by founder; item review pending</t>
        </is>
      </c>
      <c r="N110" s="24" t="n"/>
      <c r="O110" s="23" t="n"/>
      <c r="P110" s="25">
        <f>MAX(LEN(G110),LEN(I110),LEN(K110))</f>
        <v/>
      </c>
      <c r="Q110" s="26" t="inlineStr">
        <is>
          <t>A staff member declining a return without a receipt reflects fixed company policy they have little personal discretion over, not personal unhelpfulness.</t>
        </is>
      </c>
      <c r="R110" s="26" t="inlineStr">
        <is>
          <t>Always keep receipts for anything that might need to be returned, and check a store's specific returns policy (including the return window) before purchasing if unsure.</t>
        </is>
      </c>
    </row>
    <row r="111" ht="75" customHeight="1" s="15">
      <c r="A111" s="23" t="inlineStr">
        <is>
          <t>SC-CS-3-a</t>
        </is>
      </c>
      <c r="B111" s="23" t="inlineStr">
        <is>
          <t>CS-3-tech-support-script-troubleshooting-steps</t>
        </is>
      </c>
      <c r="C111" s="23" t="inlineStr">
        <is>
          <t>Customer service &amp; retail</t>
        </is>
      </c>
      <c r="D111" s="23" t="inlineStr">
        <is>
          <t>A support agent asks you to restart your router, though you've already said you tried that and know your way around.</t>
        </is>
      </c>
      <c r="E111" s="23" t="inlineStr">
        <is>
          <t>What do you do?</t>
        </is>
      </c>
      <c r="F111" s="23" t="inlineStr">
        <is>
          <t>Answer the standard questions patiently. It's often the quickest route to escalation.</t>
        </is>
      </c>
      <c r="G111" s="23" t="inlineStr">
        <is>
          <t>The script is often a required step before an agent can escalate to a specialist.</t>
        </is>
      </c>
      <c r="H111" s="23" t="inlineStr">
        <is>
          <t>Refuse, since you've already done it.</t>
        </is>
      </c>
      <c r="I111" s="23" t="inlineStr">
        <is>
          <t>That usually slows things down. Completing the script is the quickest route.</t>
        </is>
      </c>
      <c r="J111" s="23" t="inlineStr">
        <is>
          <t>Take it as the agent doubting you.</t>
        </is>
      </c>
      <c r="K111" s="23" t="inlineStr">
        <is>
          <t>It's the standard script, not a judgement of you.</t>
        </is>
      </c>
      <c r="L111" s="23" t="inlineStr">
        <is>
          <t>Approved</t>
        </is>
      </c>
      <c r="M111" s="23" t="inlineStr">
        <is>
          <t>Bulk-approved by founder; item review pending</t>
        </is>
      </c>
      <c r="N111" s="24" t="n"/>
      <c r="O111" s="23" t="n"/>
      <c r="P111" s="25">
        <f>MAX(LEN(G111),LEN(I111),LEN(K111))</f>
        <v/>
      </c>
      <c r="Q111" s="26" t="inlineStr">
        <is>
          <t>Following the standard script first is often a required step before the agent is even permitted to escalate to a specialist or a refund, regardless of how experienced the customer clearly is.</t>
        </is>
      </c>
      <c r="R111" s="26" t="inlineStr">
        <is>
          <t>Answer the standard troubleshooting questions patiently even if they seem basic, since completing them is often the quickest route to getting the issue properly escalated.</t>
        </is>
      </c>
    </row>
    <row r="112" ht="61.5" customHeight="1" s="15">
      <c r="A112" s="23" t="inlineStr">
        <is>
          <t>SC-CS-4-a</t>
        </is>
      </c>
      <c r="B112" s="23" t="inlineStr">
        <is>
          <t>CS-4-formal-written-complaint-better-outcome</t>
        </is>
      </c>
      <c r="C112" s="23" t="inlineStr">
        <is>
          <t>Customer service &amp; retail</t>
        </is>
      </c>
      <c r="D112" s="23" t="inlineStr">
        <is>
          <t>You complained by phone about a genuine problem and got little resolution. The company's website lists a separate complaints email.</t>
        </is>
      </c>
      <c r="E112" s="23" t="inlineStr">
        <is>
          <t>What do you do?</t>
        </is>
      </c>
      <c r="F112" s="23" t="inlineStr">
        <is>
          <t>Write to the complaints address, factually and calmly.</t>
        </is>
      </c>
      <c r="G112" s="23" t="inlineStr">
        <is>
          <t>Written complaints are logged, tracked and answered in writing. Verbal ones are easier to forget.</t>
        </is>
      </c>
      <c r="H112" s="23" t="inlineStr">
        <is>
          <t>Phone again, more forcefully.</t>
        </is>
      </c>
      <c r="I112" s="23" t="inlineStr">
        <is>
          <t>A forceful call is easier to minimise than a written, logged complaint.</t>
        </is>
      </c>
      <c r="J112" s="23" t="inlineStr">
        <is>
          <t>Accept it, since you've already complained once.</t>
        </is>
      </c>
      <c r="K112" s="23" t="inlineStr">
        <is>
          <t>A written complaint is a stronger route for something that matters.</t>
        </is>
      </c>
      <c r="L112" s="23" t="inlineStr">
        <is>
          <t>Approved</t>
        </is>
      </c>
      <c r="M112" s="23" t="inlineStr">
        <is>
          <t>Bulk-approved by founder; item review pending</t>
        </is>
      </c>
      <c r="N112" s="24" t="n"/>
      <c r="O112" s="23" t="n"/>
      <c r="P112" s="25">
        <f>MAX(LEN(G112),LEN(I112),LEN(K112))</f>
        <v/>
      </c>
      <c r="Q112" s="26" t="inlineStr">
        <is>
          <t>Written complaints typically get logged, tracked, and given a proper written response, whereas a verbal complaint can be more easily minimized or forgotten in the moment.</t>
        </is>
      </c>
      <c r="R112" s="26" t="inlineStr">
        <is>
          <t>For a genuine complaint that matters, put it in writing via the company's specific complaints channel, staying factual and calm, even if a phone call was tried first.</t>
        </is>
      </c>
    </row>
    <row r="113" ht="61.5" customHeight="1" s="15">
      <c r="A113" s="23" t="inlineStr">
        <is>
          <t>SC-CS-7-a</t>
        </is>
      </c>
      <c r="B113" s="23" t="inlineStr">
        <is>
          <t>CS-7-out-of-stock-apology-genuine-scarcity</t>
        </is>
      </c>
      <c r="C113" s="23" t="inlineStr">
        <is>
          <t>Customer service &amp; retail</t>
        </is>
      </c>
      <c r="D113" s="23" t="inlineStr">
        <is>
          <t>In a shop you ask for a particular item. The assistant checks and says, “Sorry, we don't have that in stock.”</t>
        </is>
      </c>
      <c r="E113" s="23" t="inlineStr">
        <is>
          <t>What do you do?</t>
        </is>
      </c>
      <c r="F113" s="23" t="inlineStr">
        <is>
          <t>Ask, “Could you check another branch, or order it in?”</t>
        </is>
      </c>
      <c r="G113" s="23" t="inlineStr">
        <is>
          <t>Most staff will offer an alternative if there is one. The answer isn't necessarily the end.</t>
        </is>
      </c>
      <c r="H113" s="23" t="inlineStr">
        <is>
          <t>Leave, since it was a brush-off.</t>
        </is>
      </c>
      <c r="I113" s="23" t="inlineStr">
        <is>
          <t>They checked first, so it's likely accurate. An alternative may still exist.</t>
        </is>
      </c>
      <c r="J113" s="23" t="inlineStr">
        <is>
          <t>Ask them to check the shelf again.</t>
        </is>
      </c>
      <c r="K113" s="23" t="inlineStr">
        <is>
          <t>They've already checked. A follow-up about other branches or ordering gets further.</t>
        </is>
      </c>
      <c r="L113" s="23" t="inlineStr">
        <is>
          <t>Approved</t>
        </is>
      </c>
      <c r="M113" s="23" t="inlineStr">
        <is>
          <t>Bulk-approved by founder; item review pending</t>
        </is>
      </c>
      <c r="N113" s="27" t="inlineStr">
        <is>
          <t>Yes</t>
        </is>
      </c>
      <c r="O113" s="23" t="n"/>
      <c r="P113" s="25">
        <f>MAX(LEN(G113),LEN(I113),LEN(K113))</f>
        <v/>
      </c>
      <c r="Q113" s="26" t="inlineStr">
        <is>
          <t>This response typically reflects an accurate, checked inventory status rather than reluctance to help further — most staff will offer an alternative if one genuinely exists.</t>
        </is>
      </c>
      <c r="R113" s="26" t="inlineStr">
        <is>
          <t>If a specific item matters, ask a direct follow-up: "Could you check if another branch has it, or if it can be ordered in?" rather than assuming the conversation is over.</t>
        </is>
      </c>
    </row>
    <row r="114" ht="61.5" customHeight="1" s="15">
      <c r="A114" s="23" t="inlineStr">
        <is>
          <t>SC-CS-10-a</t>
        </is>
      </c>
      <c r="B114" s="23" t="inlineStr">
        <is>
          <t>CS-10-walk-in-no-reservation-restaurant-wait-norm</t>
        </is>
      </c>
      <c r="C114" s="23" t="inlineStr">
        <is>
          <t>Customer service &amp; retail</t>
        </is>
      </c>
      <c r="D114" s="23" t="inlineStr">
        <is>
          <t>At a popular restaurant a host takes your name and party size and hands you a buzzer, with an estimated wait. There's no reservation list.</t>
        </is>
      </c>
      <c r="E114" s="23" t="inlineStr">
        <is>
          <t>How do you read the system?</t>
        </is>
      </c>
      <c r="F114" s="23" t="inlineStr">
        <is>
          <t>As the venue's normal walk-in system. Check beforehand next time and be ready to wait.</t>
        </is>
      </c>
      <c r="G114" s="23" t="inlineStr">
        <is>
          <t>It's a standard model for busy casual restaurants, not disorganisation.</t>
        </is>
      </c>
      <c r="H114" s="23" t="inlineStr">
        <is>
          <t>As a badly run restaurant.</t>
        </is>
      </c>
      <c r="I114" s="23" t="inlineStr">
        <is>
          <t>It's a deliberate, standard model, not a sign of chaos.</t>
        </is>
      </c>
      <c r="J114" s="23" t="inlineStr">
        <is>
          <t>As a reason to complain about the wait.</t>
        </is>
      </c>
      <c r="K114" s="23" t="inlineStr">
        <is>
          <t>The wait is how the system works. Checking in advance whether they take bookings avoids surprises.</t>
        </is>
      </c>
      <c r="L114" s="23" t="inlineStr">
        <is>
          <t>Approved</t>
        </is>
      </c>
      <c r="M114" s="23" t="inlineStr">
        <is>
          <t>Bulk-approved by founder; item review pending</t>
        </is>
      </c>
      <c r="N114" s="24" t="n"/>
      <c r="O114" s="23" t="n"/>
      <c r="P114" s="25">
        <f>MAX(LEN(G114),LEN(I114),LEN(K114))</f>
        <v/>
      </c>
      <c r="Q114" s="26" t="inlineStr">
        <is>
          <t>This walk-in wait system is the venue's standard operating model for busier casual restaurants, not a sign of disorganization or a special inconvenience for that specific visit.</t>
        </is>
      </c>
      <c r="R114" s="26" t="inlineStr">
        <is>
          <t>Check in advance whether a specific restaurant takes reservations or operates a walk-in wait-list system, and arrive prepared for a potential wait if it's the latter.</t>
        </is>
      </c>
    </row>
    <row r="115" ht="61.5" customHeight="1" s="15">
      <c r="A115" s="23" t="inlineStr">
        <is>
          <t>SC-CS-11-a</t>
        </is>
      </c>
      <c r="B115" s="23" t="inlineStr">
        <is>
          <t>CS-11-sending-food-back-polite-low-key</t>
        </is>
      </c>
      <c r="C115" s="23" t="inlineStr">
        <is>
          <t>Customer service &amp; retail</t>
        </is>
      </c>
      <c r="D115" s="23" t="inlineStr">
        <is>
          <t>Your main course arrives undercooked. You want to raise it without making a scene.</t>
        </is>
      </c>
      <c r="E115" s="23" t="inlineStr">
        <is>
          <t>What do you do?</t>
        </is>
      </c>
      <c r="F115" s="23" t="inlineStr">
        <is>
          <t>Quietly flag the server: “Sorry, this seems a bit undercooked. Would you mind having it redone?”</t>
        </is>
      </c>
      <c r="G115" s="23" t="inlineStr">
        <is>
          <t>A quiet, polite, specific complaint is the normal way, and it still gets the problem addressed.</t>
        </is>
      </c>
      <c r="H115" s="23" t="inlineStr">
        <is>
          <t>Say nothing and leave it.</t>
        </is>
      </c>
      <c r="I115" s="23" t="inlineStr">
        <is>
          <t>Staying silent leaves the problem unfixed. A calm complaint is normal.</t>
        </is>
      </c>
      <c r="J115" s="23" t="inlineStr">
        <is>
          <t>Complain loudly so others hear.</t>
        </is>
      </c>
      <c r="K115" s="23" t="inlineStr">
        <is>
          <t>No need. A measured tone is the expected, and effective, way.</t>
        </is>
      </c>
      <c r="L115" s="23" t="inlineStr">
        <is>
          <t>Approved</t>
        </is>
      </c>
      <c r="M115" s="23" t="inlineStr">
        <is>
          <t>Bulk-approved by founder; item review pending</t>
        </is>
      </c>
      <c r="N115" s="24" t="n"/>
      <c r="O115" s="23" t="n"/>
      <c r="P115" s="25">
        <f>MAX(LEN(G115),LEN(I115),LEN(K115))</f>
        <v/>
      </c>
      <c r="Q115" s="26" t="inlineStr">
        <is>
          <t>This restrained, polite delivery is the expected way to raise a genuine issue and still get it properly addressed — it isn't read as a lack of seriousness about the complaint.</t>
        </is>
      </c>
      <c r="R115" s="26" t="inlineStr">
        <is>
          <t>Raise a genuine food issue calmly and specifically with a server — a quiet, polite, specific complaint is both normal and effective in getting the issue properly addressed.</t>
        </is>
      </c>
    </row>
    <row r="116" ht="61.5" customHeight="1" s="15">
      <c r="A116" s="23" t="inlineStr">
        <is>
          <t>SC-WP-1-a</t>
        </is>
      </c>
      <c r="B116" s="23" t="inlineStr">
        <is>
          <t>WP-1-indirect-refusal-workplace</t>
        </is>
      </c>
      <c r="C116" s="23" t="inlineStr">
        <is>
          <t>Workplace</t>
        </is>
      </c>
      <c r="D116" s="23" t="inlineStr">
        <is>
          <t>You've asked your manager if you can leave early on Fridays for a class. He replies:</t>
        </is>
      </c>
      <c r="E116" s="23" t="inlineStr">
        <is>
          <t>“It's not ideal, but let's see how it goes.” — What do you say next?</t>
        </is>
      </c>
      <c r="F116" s="23" t="inlineStr">
        <is>
          <t>“Just so I plan properly — is that a yes for this Friday, or should I check back in a few weeks?”</t>
        </is>
      </c>
      <c r="G116" s="23" t="inlineStr">
        <is>
          <t>This gets you a real answer without sounding pushy — it turns a vague hedge into a concrete commitment.</t>
        </is>
      </c>
      <c r="H116" s="23" t="inlineStr">
        <is>
          <t>“Great, thank you!” — and leave early this Friday</t>
        </is>
      </c>
      <c r="I116" s="23" t="inlineStr">
        <is>
          <t>This wasn't a yes. In British workplace speech, 'let's see how it goes' is a hedge, not approval — treating it as a green light is the exact mismatch this norm describes.</t>
        </is>
      </c>
      <c r="J116" s="23" t="inlineStr">
        <is>
          <t>“Okay.” — and drop the subject entirely</t>
        </is>
      </c>
      <c r="K116" s="23" t="inlineStr">
        <is>
          <t>Understandable instinct, but this leaves you with no answer at all — you'll be back to guessing next Friday.</t>
        </is>
      </c>
      <c r="L116" s="23" t="inlineStr">
        <is>
          <t>Approved</t>
        </is>
      </c>
      <c r="M116" s="23" t="inlineStr">
        <is>
          <t>Reviewed and approved by founder</t>
        </is>
      </c>
      <c r="N116" s="24" t="n"/>
      <c r="O116" s="23" t="n"/>
      <c r="P116" s="25">
        <f>MAX(LEN(G116),LEN(I116),LEN(K116))</f>
        <v/>
      </c>
      <c r="Q116" s="26" t="n"/>
      <c r="R116" s="26" t="n"/>
    </row>
    <row r="117" ht="61.5" customHeight="1" s="15">
      <c r="A117" s="23" t="inlineStr">
        <is>
          <t>SC-HL-1-a</t>
        </is>
      </c>
      <c r="B117" s="23" t="inlineStr">
        <is>
          <t>HL-1-landlord-vague-commitment</t>
        </is>
      </c>
      <c r="C117" s="23" t="inlineStr">
        <is>
          <t>Housing &amp; landlord</t>
        </is>
      </c>
      <c r="D117" s="23" t="inlineStr">
        <is>
          <t>You've asked your landlord to fix the heating. They reply:</t>
        </is>
      </c>
      <c r="E117" s="23" t="inlineStr">
        <is>
          <t>“I'll see what I can do about it.” — What do you say next?</t>
        </is>
      </c>
      <c r="F117" s="23" t="inlineStr">
        <is>
          <t>“Could you give me a rough date for the repair? It's been two weeks.”</t>
        </is>
      </c>
      <c r="G117" s="23" t="inlineStr">
        <is>
          <t>This turns a vague deferral into a concrete ask — requesting a specific date is what usually gets a repair actually scheduled.</t>
        </is>
      </c>
      <c r="H117" s="23" t="inlineStr">
        <is>
          <t>“Thanks, appreciate it!” — and wait to hear back</t>
        </is>
      </c>
      <c r="I117" s="23" t="inlineStr">
        <is>
          <t>This is a non-committal response, not a plan — without a follow-up, 'I'll see what I can do' often means the request quietly sits at the bottom of the list.</t>
        </is>
      </c>
      <c r="J117" s="23" t="inlineStr">
        <is>
          <t>“Okay, I'll just wait then.” — and drop the subject entirely</t>
        </is>
      </c>
      <c r="K117" s="23" t="inlineStr">
        <is>
          <t>Understandable instinct, but passive waiting is exactly how vague landlord replies turn into months of no action.</t>
        </is>
      </c>
      <c r="L117" s="23" t="inlineStr">
        <is>
          <t>Approved</t>
        </is>
      </c>
      <c r="M117" s="23" t="inlineStr">
        <is>
          <t>Reviewed and approved by founder</t>
        </is>
      </c>
      <c r="N117" s="24" t="n"/>
      <c r="O117" s="23" t="n"/>
      <c r="P117" s="25">
        <f>MAX(LEN(G117),LEN(I117),LEN(K117))</f>
        <v/>
      </c>
      <c r="Q117" s="26" t="n"/>
      <c r="R117" s="26" t="n"/>
    </row>
    <row r="118" ht="61.5" customHeight="1" s="15">
      <c r="A118" s="23" t="inlineStr">
        <is>
          <t>SC-HC-1-a</t>
        </is>
      </c>
      <c r="B118" s="23" t="inlineStr">
        <is>
          <t>HC-1-gp-appointment-brevity</t>
        </is>
      </c>
      <c r="C118" s="23" t="inlineStr">
        <is>
          <t>Healthcare</t>
        </is>
      </c>
      <c r="D118" s="23" t="inlineStr">
        <is>
          <t>Your GP appointment is 8 minutes long, and it's wrapping up with a follow-up question you haven't asked yet.</t>
        </is>
      </c>
      <c r="E118" s="23" t="inlineStr">
        <is>
          <t>The appointment is about to end. What's the right move?</t>
        </is>
      </c>
      <c r="F118" s="23" t="inlineStr">
        <is>
          <t>“Could we book a longer appointment to go through this properly?”</t>
        </is>
      </c>
      <c r="G118" s="23" t="inlineStr">
        <is>
          <t>This works with the system's time-slot structure instead of against it — asking directly for more time is the expected way to get a fuller conversation.</t>
        </is>
      </c>
      <c r="H118" s="23" t="inlineStr">
        <is>
          <t>Stay silent and assume it's over</t>
        </is>
      </c>
      <c r="I118" s="23" t="inlineStr">
        <is>
          <t>The brevity is about the time slot, not a signal that your concern is minor — staying quiet just means the follow-up question goes unasked.</t>
        </is>
      </c>
      <c r="J118" s="23" t="inlineStr">
        <is>
          <t>Apologize for taking up time and leave</t>
        </is>
      </c>
      <c r="K118" s="23" t="inlineStr">
        <is>
          <t>No apology is needed — the short slot is standard practice, not a sign that you're imposing on the GP.</t>
        </is>
      </c>
      <c r="L118" s="23" t="inlineStr">
        <is>
          <t>Approved</t>
        </is>
      </c>
      <c r="M118" s="23" t="inlineStr">
        <is>
          <t>Reviewed and approved by founder</t>
        </is>
      </c>
      <c r="N118" s="24" t="n"/>
      <c r="O118" s="23" t="n"/>
      <c r="P118" s="25">
        <f>MAX(LEN(G118),LEN(I118),LEN(K118))</f>
        <v/>
      </c>
      <c r="Q118" s="26" t="n"/>
      <c r="R118" s="26" t="n"/>
    </row>
    <row r="119" ht="61.5" customHeight="1" s="15">
      <c r="A119" s="23" t="inlineStr">
        <is>
          <t>SC-JS-1-a</t>
        </is>
      </c>
      <c r="B119" s="23" t="inlineStr">
        <is>
          <t>JS-1-vague-interview-feedback</t>
        </is>
      </c>
      <c r="C119" s="23" t="inlineStr">
        <is>
          <t>Job search</t>
        </is>
      </c>
      <c r="D119" s="23" t="inlineStr">
        <is>
          <t>You were told “we'll let you know either way” after a final-round interview. It's been three weeks of silence.</t>
        </is>
      </c>
      <c r="E119" s="23" t="inlineStr">
        <is>
          <t>What do you do?</t>
        </is>
      </c>
      <c r="F119" s="23" t="inlineStr">
        <is>
          <t>Send one polite follow-up, then treat continued silence as a likely no and move on</t>
        </is>
      </c>
      <c r="G119" s="23" t="inlineStr">
        <is>
          <t>This is the right balance — not pushy, not passive, and it gets you a clear signal either way.</t>
        </is>
      </c>
      <c r="H119" s="23" t="inlineStr">
        <is>
          <t>Keep waiting indefinitely</t>
        </is>
      </c>
      <c r="I119" s="23" t="inlineStr">
        <is>
          <t>Silence past the stated timeline usually is the answer — waiting indefinitely just delays accepting that and moving on.</t>
        </is>
      </c>
      <c r="J119" s="23" t="inlineStr">
        <is>
          <t>Call the office repeatedly to demand an explanation</t>
        </is>
      </c>
      <c r="K119" s="23" t="inlineStr">
        <is>
          <t>This reads as pressure, not diligence — it's unlikely to speed up an answer and may leave a worse impression.</t>
        </is>
      </c>
      <c r="L119" s="23" t="inlineStr">
        <is>
          <t>Approved</t>
        </is>
      </c>
      <c r="M119" s="23" t="inlineStr">
        <is>
          <t>Reviewed and approved by founder</t>
        </is>
      </c>
      <c r="N119" s="24" t="n"/>
      <c r="O119" s="23" t="n"/>
      <c r="P119" s="25">
        <f>MAX(LEN(G119),LEN(I119),LEN(K119))</f>
        <v/>
      </c>
      <c r="Q119" s="26" t="n"/>
      <c r="R119" s="26" t="n"/>
    </row>
    <row r="120" ht="61.5" customHeight="1" s="15">
      <c r="A120" s="23" t="inlineStr">
        <is>
          <t>SC-SO-2-a</t>
        </is>
      </c>
      <c r="B120" s="23" t="inlineStr">
        <is>
          <t>SO-2-declining-invitation-vague-excuse</t>
        </is>
      </c>
      <c r="C120" s="23" t="inlineStr">
        <is>
          <t>Social</t>
        </is>
      </c>
      <c r="D120" s="23" t="inlineStr">
        <is>
          <t>You invited a colleague to a work social. They said, “I've got a bit of a thing that day, sorry!” and offered no more detail.</t>
        </is>
      </c>
      <c r="E120" s="23" t="inlineStr">
        <is>
          <t>What do you say?</t>
        </is>
      </c>
      <c r="F120" s="23" t="inlineStr">
        <is>
          <t>“No worries, another time!”</t>
        </is>
      </c>
      <c r="G120" s="23" t="inlineStr">
        <is>
          <t>This accepts the vague decline at face value — exactly what's expected, and it keeps things easy for both of you.</t>
        </is>
      </c>
      <c r="H120" s="23" t="inlineStr">
        <is>
          <t>“What thing? Is everything okay?” — press for the real reason</t>
        </is>
      </c>
      <c r="I120" s="23" t="inlineStr">
        <is>
          <t>Vague declines are socially complete on their own — pressing for more detail tends to make people uncomfortable rather than getting you a real answer.</t>
        </is>
      </c>
      <c r="J120" s="23" t="inlineStr">
        <is>
          <t>Quietly write them off as uninterested going forward</t>
        </is>
      </c>
      <c r="K120" s="23" t="inlineStr">
        <is>
          <t>One vague decline isn't a signal of disinterest — it's a normal, polite way to say no without giving a specific reason.</t>
        </is>
      </c>
      <c r="L120" s="23" t="inlineStr">
        <is>
          <t>Approved</t>
        </is>
      </c>
      <c r="M120" s="23" t="inlineStr">
        <is>
          <t>Reviewed and approved by founder</t>
        </is>
      </c>
      <c r="N120" s="24" t="n"/>
      <c r="O120" s="23" t="n"/>
      <c r="P120" s="25">
        <f>MAX(LEN(G120),LEN(I120),LEN(K120))</f>
        <v/>
      </c>
      <c r="Q120" s="26" t="n"/>
      <c r="R120" s="26" t="n"/>
    </row>
    <row r="121" ht="61.5" customHeight="1" s="15">
      <c r="A121" s="23" t="inlineStr">
        <is>
          <t>SC-AB-2-a</t>
        </is>
      </c>
      <c r="B121" s="23" t="inlineStr">
        <is>
          <t>AB-2-bank-letter-formal-tone-routine</t>
        </is>
      </c>
      <c r="C121" s="23" t="inlineStr">
        <is>
          <t>Admin &amp; bureaucracy</t>
        </is>
      </c>
      <c r="D121" s="23" t="inlineStr">
        <is>
          <t>A letter arrives from your bank in serious, legal-sounding language, asking you to confirm your address with updated proof documents.</t>
        </is>
      </c>
      <c r="E121" s="23" t="inlineStr">
        <is>
          <t>What's the right response?</t>
        </is>
      </c>
      <c r="F121" s="23" t="inlineStr">
        <is>
          <t>Respond to the specific document request within the deadline, calling the number on an official statement if unsure</t>
        </is>
      </c>
      <c r="G121" s="23" t="inlineStr">
        <is>
          <t>This treats the content, not the tone, as the real signal — exactly the right way to handle a routine but time-bound request.</t>
        </is>
      </c>
      <c r="H121" s="23" t="inlineStr">
        <is>
          <t>Panic and assume there's a problem with the account</t>
        </is>
      </c>
      <c r="I121" s="23" t="inlineStr">
        <is>
          <t>This is standard template language for a routine compliance check — the tone doesn't indicate any actual suspicion about your account.</t>
        </is>
      </c>
      <c r="J121" s="23" t="inlineStr">
        <is>
          <t>Ignore it as generic bank confusion</t>
        </is>
      </c>
      <c r="K121" s="23" t="inlineStr">
        <is>
          <t>It's a real, time-bound request even though the tone is alarmist — ignoring it risks missing the actual deadline.</t>
        </is>
      </c>
      <c r="L121" s="23" t="inlineStr">
        <is>
          <t>Approved</t>
        </is>
      </c>
      <c r="M121" s="23" t="inlineStr">
        <is>
          <t>Reviewed and approved by founder</t>
        </is>
      </c>
      <c r="N121" s="24" t="n"/>
      <c r="O121" s="23" t="inlineStr">
        <is>
          <t>Taxonomy says call the number on an official statement (not the letter); scenario omits '(not the letter)'</t>
        </is>
      </c>
      <c r="P121" s="25">
        <f>MAX(LEN(G121),LEN(I121),LEN(K121))</f>
        <v/>
      </c>
      <c r="Q121" s="26" t="n"/>
      <c r="R121" s="26" t="n"/>
    </row>
  </sheetData>
  <autoFilter ref="A1:R121"/>
  <conditionalFormatting sqref="P2:P415">
    <cfRule type="cellIs" rank="0" priority="2" equalAverage="0" operator="greaterThan" aboveAverage="0" dxfId="7" text="" percent="0" bottom="0">
      <formula>180</formula>
    </cfRule>
  </conditionalFormatting>
  <dataValidations count="1">
    <dataValidation sqref="L2:L415" showDropDown="0" showInputMessage="0" showErrorMessage="0" allowBlank="0" type="list" errorStyle="stop" operator="between">
      <formula1>"Draft,Approved,Needs edit,Rejected"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2026-10-05T17:02:41Z</dcterms:created>
  <dcterms:modified xmlns:dcterms="http://purl.org/dc/terms/" xmlns:xsi="http://www.w3.org/2001/XMLSchema-instance" xsi:type="dcterms:W3CDTF">2026-10-05T17:31:38Z</dcterms:modified>
  <cp:revision>0</cp:revision>
</cp:coreProperties>
</file>